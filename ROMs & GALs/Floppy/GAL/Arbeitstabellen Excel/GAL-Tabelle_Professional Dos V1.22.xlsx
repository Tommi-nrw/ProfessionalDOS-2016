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0865" yWindow="2310" windowWidth="12855" windowHeight="14010" activeTab="3"/>
  </bookViews>
  <sheets>
    <sheet name="GALV4" sheetId="2" r:id="rId1"/>
    <sheet name="Clockgenerator" sheetId="4" r:id="rId2"/>
    <sheet name="GALV5" sheetId="6" r:id="rId3"/>
    <sheet name="Truth-Table V1.22" sheetId="10" r:id="rId4"/>
    <sheet name="Speicherbelugung" sheetId="12" r:id="rId5"/>
  </sheets>
  <definedNames>
    <definedName name="_xlnm._FilterDatabase" localSheetId="3" hidden="1">'Truth-Table V1.22'!$D$1:$M$130</definedName>
    <definedName name="ProfDosV5D_Truth_Table" localSheetId="3">'Truth-Table V1.22'!$B$1:$Y$2</definedName>
  </definedNames>
  <calcPr calcId="145621"/>
</workbook>
</file>

<file path=xl/calcChain.xml><?xml version="1.0" encoding="utf-8"?>
<calcChain xmlns="http://schemas.openxmlformats.org/spreadsheetml/2006/main">
  <c r="AG34" i="10" l="1"/>
  <c r="AG33" i="10"/>
  <c r="AG32" i="10"/>
  <c r="AG31" i="10"/>
  <c r="AG30" i="10"/>
  <c r="AG29" i="10"/>
  <c r="AG28" i="10"/>
  <c r="AG27" i="10"/>
  <c r="AG26" i="10"/>
  <c r="AG25" i="10"/>
  <c r="AG24" i="10"/>
  <c r="AG23" i="10"/>
  <c r="AG22" i="10"/>
  <c r="AG21" i="10"/>
  <c r="AG20" i="10"/>
  <c r="AG19" i="10"/>
  <c r="AG18" i="10"/>
  <c r="AG17" i="10"/>
  <c r="AG16" i="10"/>
  <c r="AG15" i="10"/>
  <c r="AG14" i="10"/>
  <c r="AG13" i="10"/>
  <c r="AG12" i="10"/>
  <c r="AG11" i="10"/>
  <c r="AG10" i="10"/>
  <c r="AG9" i="10"/>
  <c r="AG8" i="10"/>
  <c r="AG7" i="10"/>
  <c r="AG6" i="10"/>
  <c r="AG5" i="10"/>
  <c r="AG4" i="10"/>
  <c r="AG3" i="10"/>
  <c r="AG130" i="10" l="1"/>
  <c r="AG129" i="10"/>
  <c r="AG128" i="10"/>
  <c r="AG127" i="10"/>
  <c r="AG126" i="10"/>
  <c r="AG125" i="10"/>
  <c r="AG124" i="10"/>
  <c r="AG123" i="10"/>
  <c r="AG122" i="10"/>
  <c r="AG121" i="10"/>
  <c r="AG120" i="10"/>
  <c r="AG119" i="10"/>
  <c r="AG118" i="10"/>
  <c r="AG117" i="10"/>
  <c r="AG116" i="10"/>
  <c r="AG115" i="10"/>
  <c r="AG114" i="10"/>
  <c r="AG113" i="10"/>
  <c r="AG112" i="10"/>
  <c r="AG111" i="10"/>
  <c r="AG110" i="10"/>
  <c r="AG109" i="10"/>
  <c r="AG108" i="10"/>
  <c r="AG107" i="10"/>
  <c r="AG106" i="10"/>
  <c r="AG105" i="10"/>
  <c r="AG104" i="10"/>
  <c r="AG103" i="10"/>
  <c r="AG102" i="10"/>
  <c r="AG101" i="10"/>
  <c r="AG100" i="10"/>
  <c r="AG99" i="10"/>
  <c r="AG35" i="10" l="1"/>
  <c r="AG36" i="10"/>
  <c r="AG37" i="10"/>
  <c r="AG38" i="10"/>
  <c r="AG39" i="10"/>
  <c r="AG40" i="10"/>
  <c r="AG41" i="10"/>
  <c r="AG42" i="10"/>
  <c r="AG43" i="10"/>
  <c r="AG44" i="10"/>
  <c r="AG45" i="10"/>
  <c r="AG46" i="10"/>
  <c r="AG47" i="10"/>
  <c r="AG48" i="10"/>
  <c r="AG49" i="10"/>
  <c r="AG50" i="10"/>
  <c r="AG51" i="10"/>
  <c r="AG52" i="10"/>
  <c r="AG53" i="10"/>
  <c r="AG54" i="10"/>
  <c r="AG55" i="10"/>
  <c r="AG56" i="10"/>
  <c r="AG57" i="10"/>
  <c r="AG58" i="10"/>
  <c r="AG59" i="10"/>
  <c r="AG60" i="10"/>
  <c r="AG61" i="10"/>
  <c r="AG62" i="10"/>
  <c r="AG63" i="10"/>
  <c r="AG64" i="10"/>
  <c r="AG65" i="10"/>
  <c r="AG66" i="10"/>
  <c r="AG67" i="10"/>
  <c r="AG68" i="10"/>
  <c r="AG69" i="10"/>
  <c r="AG70" i="10"/>
  <c r="AG71" i="10"/>
  <c r="AG72" i="10"/>
  <c r="AG73" i="10"/>
  <c r="AG74" i="10"/>
  <c r="AG75" i="10"/>
  <c r="AG76" i="10"/>
  <c r="AG77" i="10"/>
  <c r="AG78" i="10"/>
  <c r="AG79" i="10"/>
  <c r="AG80" i="10"/>
  <c r="AG81" i="10"/>
  <c r="AG82" i="10"/>
  <c r="AG83" i="10"/>
  <c r="AG84" i="10"/>
  <c r="AG85" i="10"/>
  <c r="AG86" i="10"/>
  <c r="AG87" i="10"/>
  <c r="AG88" i="10"/>
  <c r="AG89" i="10"/>
  <c r="AG90" i="10"/>
  <c r="AG91" i="10"/>
  <c r="AG92" i="10"/>
  <c r="AG93" i="10"/>
  <c r="AG94" i="10"/>
  <c r="AG95" i="10"/>
  <c r="AG96" i="10"/>
  <c r="AG97" i="10"/>
  <c r="AG98" i="10"/>
  <c r="AG2" i="10"/>
  <c r="AI39" i="6" l="1"/>
  <c r="AI31" i="6"/>
  <c r="AI23" i="6"/>
  <c r="AI15" i="6"/>
  <c r="AI7" i="6"/>
  <c r="X39" i="6"/>
  <c r="X31" i="6"/>
  <c r="X23" i="6"/>
  <c r="X15" i="6"/>
  <c r="X7" i="6"/>
  <c r="U12" i="6"/>
  <c r="AM44" i="6"/>
  <c r="AL44" i="6"/>
  <c r="AK44" i="6"/>
  <c r="AJ44" i="6"/>
  <c r="AI44" i="6"/>
  <c r="AH44" i="6"/>
  <c r="AG44" i="6"/>
  <c r="AF44" i="6"/>
  <c r="AB44" i="6"/>
  <c r="AA44" i="6"/>
  <c r="Z44" i="6"/>
  <c r="Y44" i="6"/>
  <c r="X44" i="6"/>
  <c r="W44" i="6"/>
  <c r="V44" i="6"/>
  <c r="U44" i="6"/>
  <c r="AM43" i="6"/>
  <c r="AL43" i="6"/>
  <c r="AK43" i="6"/>
  <c r="AJ43" i="6"/>
  <c r="AI43" i="6"/>
  <c r="AH43" i="6"/>
  <c r="AG43" i="6"/>
  <c r="AF43" i="6"/>
  <c r="AB43" i="6"/>
  <c r="AA43" i="6"/>
  <c r="Z43" i="6"/>
  <c r="Y43" i="6"/>
  <c r="X43" i="6"/>
  <c r="W43" i="6"/>
  <c r="V43" i="6"/>
  <c r="U43" i="6"/>
  <c r="AM42" i="6"/>
  <c r="AL42" i="6"/>
  <c r="AK42" i="6"/>
  <c r="AJ42" i="6"/>
  <c r="AI42" i="6"/>
  <c r="AH42" i="6"/>
  <c r="AG42" i="6"/>
  <c r="AF42" i="6"/>
  <c r="AB42" i="6"/>
  <c r="AA42" i="6"/>
  <c r="Z42" i="6"/>
  <c r="Y42" i="6"/>
  <c r="X42" i="6"/>
  <c r="W42" i="6"/>
  <c r="V42" i="6"/>
  <c r="U42" i="6"/>
  <c r="AM41" i="6"/>
  <c r="AL41" i="6"/>
  <c r="AK41" i="6"/>
  <c r="AJ41" i="6"/>
  <c r="AI41" i="6"/>
  <c r="AH41" i="6"/>
  <c r="AG41" i="6"/>
  <c r="AF41" i="6"/>
  <c r="AB41" i="6"/>
  <c r="AA41" i="6"/>
  <c r="Z41" i="6"/>
  <c r="Y41" i="6"/>
  <c r="X41" i="6"/>
  <c r="W41" i="6"/>
  <c r="V41" i="6"/>
  <c r="U41" i="6"/>
  <c r="AM36" i="6"/>
  <c r="AL36" i="6"/>
  <c r="AK36" i="6"/>
  <c r="AJ36" i="6"/>
  <c r="AI36" i="6"/>
  <c r="AH36" i="6"/>
  <c r="AG36" i="6"/>
  <c r="AF36" i="6"/>
  <c r="AB36" i="6"/>
  <c r="AA36" i="6"/>
  <c r="Z36" i="6"/>
  <c r="Y36" i="6"/>
  <c r="X36" i="6"/>
  <c r="W36" i="6"/>
  <c r="V36" i="6"/>
  <c r="U36" i="6"/>
  <c r="AM35" i="6"/>
  <c r="AL35" i="6"/>
  <c r="AK35" i="6"/>
  <c r="AJ35" i="6"/>
  <c r="AI35" i="6"/>
  <c r="AH35" i="6"/>
  <c r="AG35" i="6"/>
  <c r="AF35" i="6"/>
  <c r="AB35" i="6"/>
  <c r="AA35" i="6"/>
  <c r="Z35" i="6"/>
  <c r="Y35" i="6"/>
  <c r="X35" i="6"/>
  <c r="W35" i="6"/>
  <c r="V35" i="6"/>
  <c r="U35" i="6"/>
  <c r="AM34" i="6"/>
  <c r="AL34" i="6"/>
  <c r="AK34" i="6"/>
  <c r="AJ34" i="6"/>
  <c r="AI34" i="6"/>
  <c r="AH34" i="6"/>
  <c r="AG34" i="6"/>
  <c r="AF34" i="6"/>
  <c r="AB34" i="6"/>
  <c r="AA34" i="6"/>
  <c r="Z34" i="6"/>
  <c r="Y34" i="6"/>
  <c r="X34" i="6"/>
  <c r="W34" i="6"/>
  <c r="V34" i="6"/>
  <c r="U34" i="6"/>
  <c r="AM33" i="6"/>
  <c r="AL33" i="6"/>
  <c r="AK33" i="6"/>
  <c r="AJ33" i="6"/>
  <c r="AI33" i="6"/>
  <c r="AH33" i="6"/>
  <c r="AG33" i="6"/>
  <c r="AF33" i="6"/>
  <c r="AB33" i="6"/>
  <c r="AA33" i="6"/>
  <c r="Z33" i="6"/>
  <c r="Y33" i="6"/>
  <c r="X33" i="6"/>
  <c r="W33" i="6"/>
  <c r="V33" i="6"/>
  <c r="U33" i="6"/>
  <c r="AM28" i="6"/>
  <c r="AL28" i="6"/>
  <c r="AK28" i="6"/>
  <c r="AJ28" i="6"/>
  <c r="AI28" i="6"/>
  <c r="AH28" i="6"/>
  <c r="AG28" i="6"/>
  <c r="AF28" i="6"/>
  <c r="AB28" i="6"/>
  <c r="AA28" i="6"/>
  <c r="Z28" i="6"/>
  <c r="Y28" i="6"/>
  <c r="X28" i="6"/>
  <c r="W28" i="6"/>
  <c r="V28" i="6"/>
  <c r="U28" i="6"/>
  <c r="AM27" i="6"/>
  <c r="AL27" i="6"/>
  <c r="AK27" i="6"/>
  <c r="AJ27" i="6"/>
  <c r="AI27" i="6"/>
  <c r="AH27" i="6"/>
  <c r="AG27" i="6"/>
  <c r="AF27" i="6"/>
  <c r="AB27" i="6"/>
  <c r="AA27" i="6"/>
  <c r="Z27" i="6"/>
  <c r="Y27" i="6"/>
  <c r="X27" i="6"/>
  <c r="W27" i="6"/>
  <c r="V27" i="6"/>
  <c r="U27" i="6"/>
  <c r="AM26" i="6"/>
  <c r="AL26" i="6"/>
  <c r="AK26" i="6"/>
  <c r="AJ26" i="6"/>
  <c r="AI26" i="6"/>
  <c r="AH26" i="6"/>
  <c r="AG26" i="6"/>
  <c r="AF26" i="6"/>
  <c r="AB26" i="6"/>
  <c r="AA26" i="6"/>
  <c r="Z26" i="6"/>
  <c r="Y26" i="6"/>
  <c r="X26" i="6"/>
  <c r="W26" i="6"/>
  <c r="V26" i="6"/>
  <c r="U26" i="6"/>
  <c r="AM25" i="6"/>
  <c r="AL25" i="6"/>
  <c r="AK25" i="6"/>
  <c r="AJ25" i="6"/>
  <c r="AI25" i="6"/>
  <c r="AH25" i="6"/>
  <c r="AG25" i="6"/>
  <c r="AF25" i="6"/>
  <c r="AB25" i="6"/>
  <c r="AA25" i="6"/>
  <c r="Z25" i="6"/>
  <c r="Y25" i="6"/>
  <c r="X25" i="6"/>
  <c r="W25" i="6"/>
  <c r="V25" i="6"/>
  <c r="U25" i="6"/>
  <c r="AM20" i="6"/>
  <c r="AL20" i="6"/>
  <c r="AK20" i="6"/>
  <c r="AJ20" i="6"/>
  <c r="AI20" i="6"/>
  <c r="AH20" i="6"/>
  <c r="AG20" i="6"/>
  <c r="AF20" i="6"/>
  <c r="AB20" i="6"/>
  <c r="AA20" i="6"/>
  <c r="Z20" i="6"/>
  <c r="Y20" i="6"/>
  <c r="X20" i="6"/>
  <c r="W20" i="6"/>
  <c r="V20" i="6"/>
  <c r="U20" i="6"/>
  <c r="AM19" i="6"/>
  <c r="AL19" i="6"/>
  <c r="AK19" i="6"/>
  <c r="AJ19" i="6"/>
  <c r="AI19" i="6"/>
  <c r="AH19" i="6"/>
  <c r="AG19" i="6"/>
  <c r="AF19" i="6"/>
  <c r="AB19" i="6"/>
  <c r="AA19" i="6"/>
  <c r="Z19" i="6"/>
  <c r="Y19" i="6"/>
  <c r="X19" i="6"/>
  <c r="W19" i="6"/>
  <c r="V19" i="6"/>
  <c r="U19" i="6"/>
  <c r="AM18" i="6"/>
  <c r="AL18" i="6"/>
  <c r="AK18" i="6"/>
  <c r="AJ18" i="6"/>
  <c r="AI18" i="6"/>
  <c r="AH18" i="6"/>
  <c r="AG18" i="6"/>
  <c r="AF18" i="6"/>
  <c r="AB18" i="6"/>
  <c r="AA18" i="6"/>
  <c r="Z18" i="6"/>
  <c r="Y18" i="6"/>
  <c r="X18" i="6"/>
  <c r="W18" i="6"/>
  <c r="V18" i="6"/>
  <c r="U18" i="6"/>
  <c r="AM17" i="6"/>
  <c r="AL17" i="6"/>
  <c r="AK17" i="6"/>
  <c r="AJ17" i="6"/>
  <c r="AI17" i="6"/>
  <c r="AH17" i="6"/>
  <c r="AG17" i="6"/>
  <c r="AF17" i="6"/>
  <c r="AB17" i="6"/>
  <c r="AA17" i="6"/>
  <c r="Z17" i="6"/>
  <c r="Y17" i="6"/>
  <c r="X17" i="6"/>
  <c r="W17" i="6"/>
  <c r="V17" i="6"/>
  <c r="U17" i="6"/>
  <c r="AM12" i="6"/>
  <c r="AL12" i="6"/>
  <c r="AK12" i="6"/>
  <c r="AJ12" i="6"/>
  <c r="AI12" i="6"/>
  <c r="AH12" i="6"/>
  <c r="AG12" i="6"/>
  <c r="AF12" i="6"/>
  <c r="AB12" i="6"/>
  <c r="AA12" i="6"/>
  <c r="Z12" i="6"/>
  <c r="Y12" i="6"/>
  <c r="X12" i="6"/>
  <c r="W12" i="6"/>
  <c r="V12" i="6"/>
  <c r="AM11" i="6"/>
  <c r="AL11" i="6"/>
  <c r="AK11" i="6"/>
  <c r="AJ11" i="6"/>
  <c r="AI11" i="6"/>
  <c r="AH11" i="6"/>
  <c r="AG11" i="6"/>
  <c r="AF11" i="6"/>
  <c r="AB11" i="6"/>
  <c r="AA11" i="6"/>
  <c r="Z11" i="6"/>
  <c r="Y11" i="6"/>
  <c r="X11" i="6"/>
  <c r="W11" i="6"/>
  <c r="V11" i="6"/>
  <c r="U11" i="6"/>
  <c r="AM10" i="6"/>
  <c r="AL10" i="6"/>
  <c r="AK10" i="6"/>
  <c r="AJ10" i="6"/>
  <c r="AI10" i="6"/>
  <c r="AH10" i="6"/>
  <c r="AG10" i="6"/>
  <c r="AF10" i="6"/>
  <c r="AB10" i="6"/>
  <c r="AA10" i="6"/>
  <c r="Z10" i="6"/>
  <c r="Y10" i="6"/>
  <c r="X10" i="6"/>
  <c r="W10" i="6"/>
  <c r="V10" i="6"/>
  <c r="U10" i="6"/>
  <c r="AM9" i="6"/>
  <c r="AL9" i="6"/>
  <c r="AK9" i="6"/>
  <c r="AJ9" i="6"/>
  <c r="AI9" i="6"/>
  <c r="AH9" i="6"/>
  <c r="AG9" i="6"/>
  <c r="AF9" i="6"/>
  <c r="AB9" i="6"/>
  <c r="AA9" i="6"/>
  <c r="Z9" i="6"/>
  <c r="Y9" i="6"/>
  <c r="X9" i="6"/>
  <c r="W9" i="6"/>
  <c r="V9" i="6"/>
  <c r="U9" i="6"/>
  <c r="AL36" i="2" l="1"/>
  <c r="AK36" i="2"/>
  <c r="AJ36" i="2"/>
  <c r="AI36" i="2"/>
  <c r="AH36" i="2"/>
  <c r="AG36" i="2"/>
  <c r="AF36" i="2"/>
  <c r="AE36" i="2"/>
  <c r="AL35" i="2"/>
  <c r="AK35" i="2"/>
  <c r="AJ35" i="2"/>
  <c r="AI35" i="2"/>
  <c r="AH35" i="2"/>
  <c r="AG35" i="2"/>
  <c r="AF35" i="2"/>
  <c r="AE35" i="2"/>
  <c r="AL34" i="2"/>
  <c r="AK34" i="2"/>
  <c r="AJ34" i="2"/>
  <c r="AI34" i="2"/>
  <c r="AH34" i="2"/>
  <c r="AG34" i="2"/>
  <c r="AF34" i="2"/>
  <c r="AE34" i="2"/>
  <c r="AL33" i="2"/>
  <c r="AK33" i="2"/>
  <c r="AJ33" i="2"/>
  <c r="AI33" i="2"/>
  <c r="AH33" i="2"/>
  <c r="AG33" i="2"/>
  <c r="AF33" i="2"/>
  <c r="AE33" i="2"/>
  <c r="AL44" i="2"/>
  <c r="AK44" i="2"/>
  <c r="AJ44" i="2"/>
  <c r="AI44" i="2"/>
  <c r="AH44" i="2"/>
  <c r="AG44" i="2"/>
  <c r="AF44" i="2"/>
  <c r="AE44" i="2"/>
  <c r="AL43" i="2"/>
  <c r="AK43" i="2"/>
  <c r="AJ43" i="2"/>
  <c r="AI43" i="2"/>
  <c r="AH43" i="2"/>
  <c r="AG43" i="2"/>
  <c r="AF43" i="2"/>
  <c r="AE43" i="2"/>
  <c r="AL42" i="2"/>
  <c r="AK42" i="2"/>
  <c r="AJ42" i="2"/>
  <c r="AI42" i="2"/>
  <c r="AH42" i="2"/>
  <c r="AG42" i="2"/>
  <c r="AF42" i="2"/>
  <c r="AE42" i="2"/>
  <c r="AL41" i="2"/>
  <c r="AK41" i="2"/>
  <c r="AJ41" i="2"/>
  <c r="AI41" i="2"/>
  <c r="AH41" i="2"/>
  <c r="AG41" i="2"/>
  <c r="AF41" i="2"/>
  <c r="AE41" i="2"/>
  <c r="AL28" i="2"/>
  <c r="AK28" i="2"/>
  <c r="AJ28" i="2"/>
  <c r="AI28" i="2"/>
  <c r="AH28" i="2"/>
  <c r="AG28" i="2"/>
  <c r="AF28" i="2"/>
  <c r="AE28" i="2"/>
  <c r="AL27" i="2"/>
  <c r="AK27" i="2"/>
  <c r="AJ27" i="2"/>
  <c r="AI27" i="2"/>
  <c r="AH27" i="2"/>
  <c r="AG27" i="2"/>
  <c r="AF27" i="2"/>
  <c r="AE27" i="2"/>
  <c r="AL26" i="2"/>
  <c r="AK26" i="2"/>
  <c r="AJ26" i="2"/>
  <c r="AI26" i="2"/>
  <c r="AH26" i="2"/>
  <c r="AG26" i="2"/>
  <c r="AF26" i="2"/>
  <c r="AE26" i="2"/>
  <c r="AL25" i="2"/>
  <c r="AK25" i="2"/>
  <c r="AJ25" i="2"/>
  <c r="AI25" i="2"/>
  <c r="AH25" i="2"/>
  <c r="AG25" i="2"/>
  <c r="AF25" i="2"/>
  <c r="AE25" i="2"/>
  <c r="AL20" i="2"/>
  <c r="AK20" i="2"/>
  <c r="AJ20" i="2"/>
  <c r="AI20" i="2"/>
  <c r="AH20" i="2"/>
  <c r="AG20" i="2"/>
  <c r="AF20" i="2"/>
  <c r="AE20" i="2"/>
  <c r="AL19" i="2"/>
  <c r="AK19" i="2"/>
  <c r="AJ19" i="2"/>
  <c r="AI19" i="2"/>
  <c r="AH19" i="2"/>
  <c r="AG19" i="2"/>
  <c r="AF19" i="2"/>
  <c r="AE19" i="2"/>
  <c r="AL18" i="2"/>
  <c r="AK18" i="2"/>
  <c r="AJ18" i="2"/>
  <c r="AI18" i="2"/>
  <c r="AH18" i="2"/>
  <c r="AG18" i="2"/>
  <c r="AF18" i="2"/>
  <c r="AE18" i="2"/>
  <c r="AL17" i="2"/>
  <c r="AK17" i="2"/>
  <c r="AJ17" i="2"/>
  <c r="AI17" i="2"/>
  <c r="AH17" i="2"/>
  <c r="AG17" i="2"/>
  <c r="AF17" i="2"/>
  <c r="AE17" i="2"/>
  <c r="AA44" i="2"/>
  <c r="Z44" i="2"/>
  <c r="Y44" i="2"/>
  <c r="X44" i="2"/>
  <c r="W44" i="2"/>
  <c r="V44" i="2"/>
  <c r="U44" i="2"/>
  <c r="T44" i="2"/>
  <c r="AA43" i="2"/>
  <c r="Z43" i="2"/>
  <c r="Y43" i="2"/>
  <c r="X43" i="2"/>
  <c r="W43" i="2"/>
  <c r="V43" i="2"/>
  <c r="U43" i="2"/>
  <c r="T43" i="2"/>
  <c r="AA42" i="2"/>
  <c r="Z42" i="2"/>
  <c r="Y42" i="2"/>
  <c r="X42" i="2"/>
  <c r="W42" i="2"/>
  <c r="V42" i="2"/>
  <c r="U42" i="2"/>
  <c r="T42" i="2"/>
  <c r="AA41" i="2"/>
  <c r="Z41" i="2"/>
  <c r="Y41" i="2"/>
  <c r="X41" i="2"/>
  <c r="W41" i="2"/>
  <c r="V41" i="2"/>
  <c r="U41" i="2"/>
  <c r="T41" i="2"/>
  <c r="AA36" i="2"/>
  <c r="Z36" i="2"/>
  <c r="Y36" i="2"/>
  <c r="X36" i="2"/>
  <c r="W36" i="2"/>
  <c r="V36" i="2"/>
  <c r="U36" i="2"/>
  <c r="T36" i="2"/>
  <c r="AA35" i="2"/>
  <c r="Z35" i="2"/>
  <c r="Y35" i="2"/>
  <c r="X35" i="2"/>
  <c r="W35" i="2"/>
  <c r="V35" i="2"/>
  <c r="U35" i="2"/>
  <c r="T35" i="2"/>
  <c r="AA34" i="2"/>
  <c r="Z34" i="2"/>
  <c r="Y34" i="2"/>
  <c r="X34" i="2"/>
  <c r="W34" i="2"/>
  <c r="V34" i="2"/>
  <c r="U34" i="2"/>
  <c r="T34" i="2"/>
  <c r="AA33" i="2"/>
  <c r="Z33" i="2"/>
  <c r="Y33" i="2"/>
  <c r="X33" i="2"/>
  <c r="W33" i="2"/>
  <c r="V33" i="2"/>
  <c r="U33" i="2"/>
  <c r="T33" i="2"/>
  <c r="AA28" i="2"/>
  <c r="Z28" i="2"/>
  <c r="Y28" i="2"/>
  <c r="X28" i="2"/>
  <c r="W28" i="2"/>
  <c r="V28" i="2"/>
  <c r="U28" i="2"/>
  <c r="T28" i="2"/>
  <c r="AA27" i="2"/>
  <c r="Z27" i="2"/>
  <c r="Y27" i="2"/>
  <c r="X27" i="2"/>
  <c r="W27" i="2"/>
  <c r="V27" i="2"/>
  <c r="U27" i="2"/>
  <c r="T27" i="2"/>
  <c r="AA26" i="2"/>
  <c r="Z26" i="2"/>
  <c r="Y26" i="2"/>
  <c r="X26" i="2"/>
  <c r="W26" i="2"/>
  <c r="V26" i="2"/>
  <c r="U26" i="2"/>
  <c r="T26" i="2"/>
  <c r="AA25" i="2"/>
  <c r="Z25" i="2"/>
  <c r="Y25" i="2"/>
  <c r="X25" i="2"/>
  <c r="W25" i="2"/>
  <c r="V25" i="2"/>
  <c r="U25" i="2"/>
  <c r="T25" i="2"/>
  <c r="AA20" i="2"/>
  <c r="Z20" i="2"/>
  <c r="Y20" i="2"/>
  <c r="X20" i="2"/>
  <c r="W20" i="2"/>
  <c r="V20" i="2"/>
  <c r="U20" i="2"/>
  <c r="T20" i="2"/>
  <c r="AA19" i="2"/>
  <c r="Z19" i="2"/>
  <c r="Y19" i="2"/>
  <c r="X19" i="2"/>
  <c r="W19" i="2"/>
  <c r="V19" i="2"/>
  <c r="U19" i="2"/>
  <c r="T19" i="2"/>
  <c r="AA18" i="2"/>
  <c r="Z18" i="2"/>
  <c r="Y18" i="2"/>
  <c r="X18" i="2"/>
  <c r="W18" i="2"/>
  <c r="V18" i="2"/>
  <c r="U18" i="2"/>
  <c r="T18" i="2"/>
  <c r="AA17" i="2"/>
  <c r="Z17" i="2"/>
  <c r="Y17" i="2"/>
  <c r="X17" i="2"/>
  <c r="W17" i="2"/>
  <c r="V17" i="2"/>
  <c r="U17" i="2"/>
  <c r="T17" i="2"/>
  <c r="AA12" i="2"/>
  <c r="Z12" i="2"/>
  <c r="Y12" i="2"/>
  <c r="X12" i="2"/>
  <c r="W12" i="2"/>
  <c r="V12" i="2"/>
  <c r="U12" i="2"/>
  <c r="T12" i="2"/>
  <c r="AA11" i="2"/>
  <c r="Z11" i="2"/>
  <c r="Y11" i="2"/>
  <c r="X11" i="2"/>
  <c r="W11" i="2"/>
  <c r="V11" i="2"/>
  <c r="U11" i="2"/>
  <c r="T11" i="2"/>
  <c r="AA10" i="2"/>
  <c r="Z10" i="2"/>
  <c r="Y10" i="2"/>
  <c r="X10" i="2"/>
  <c r="W10" i="2"/>
  <c r="V10" i="2"/>
  <c r="U10" i="2"/>
  <c r="T10" i="2"/>
  <c r="AA9" i="2"/>
  <c r="Z9" i="2"/>
  <c r="Y9" i="2"/>
  <c r="X9" i="2"/>
  <c r="W9" i="2"/>
  <c r="V9" i="2"/>
  <c r="U9" i="2"/>
  <c r="T9" i="2"/>
  <c r="AL12" i="2"/>
  <c r="AK12" i="2"/>
  <c r="AJ12" i="2"/>
  <c r="AI12" i="2"/>
  <c r="AH12" i="2"/>
  <c r="AG12" i="2"/>
  <c r="AF12" i="2"/>
  <c r="AE12" i="2"/>
  <c r="AL11" i="2"/>
  <c r="AK11" i="2"/>
  <c r="AJ11" i="2"/>
  <c r="AI11" i="2"/>
  <c r="AH11" i="2"/>
  <c r="AG11" i="2"/>
  <c r="AF11" i="2"/>
  <c r="AE11" i="2"/>
  <c r="AL10" i="2"/>
  <c r="AK10" i="2"/>
  <c r="AJ10" i="2"/>
  <c r="AI10" i="2"/>
  <c r="AH10" i="2"/>
  <c r="AG10" i="2"/>
  <c r="AF10" i="2"/>
  <c r="AE10" i="2"/>
  <c r="AL9" i="2"/>
  <c r="AK9" i="2"/>
  <c r="AJ9" i="2"/>
  <c r="AI9" i="2"/>
  <c r="AH9" i="2"/>
  <c r="AG9" i="2"/>
  <c r="AF9" i="2"/>
  <c r="AE9" i="2"/>
</calcChain>
</file>

<file path=xl/connections.xml><?xml version="1.0" encoding="utf-8"?>
<connections xmlns="http://schemas.openxmlformats.org/spreadsheetml/2006/main">
  <connection id="1" name="ProfDosV5D-Truth Table1" type="6" refreshedVersion="4" background="1" saveData="1">
    <textPr codePage="850" sourceFile="C:\Users\Hitch\Desktop\ProfDosV5D-Truth Table.txt" decimal="," thousands="." tab="0" comma="1" delimiter="[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<sst xmlns="http://schemas.openxmlformats.org/spreadsheetml/2006/main" count="3063" uniqueCount="280">
  <si>
    <t>A15</t>
  </si>
  <si>
    <t>A13</t>
  </si>
  <si>
    <t>Input</t>
  </si>
  <si>
    <t>Pin 5</t>
  </si>
  <si>
    <t>Pin 7</t>
  </si>
  <si>
    <t>Output</t>
  </si>
  <si>
    <t>Pin 14</t>
  </si>
  <si>
    <t>neu</t>
  </si>
  <si>
    <t>A12</t>
  </si>
  <si>
    <t>A12 - ext</t>
  </si>
  <si>
    <t>A15 - ext</t>
  </si>
  <si>
    <t>A11 - ext</t>
  </si>
  <si>
    <t>Pin 16</t>
  </si>
  <si>
    <t>vorhanden</t>
  </si>
  <si>
    <t>GAL</t>
  </si>
  <si>
    <t>Pin 23</t>
  </si>
  <si>
    <t>Signal</t>
  </si>
  <si>
    <t>Wahrheitstabelle:</t>
  </si>
  <si>
    <t>Pin 4</t>
  </si>
  <si>
    <t>A11</t>
  </si>
  <si>
    <t>Zusätzlich zu bestehender Programmierung!</t>
  </si>
  <si>
    <t>Pin 8</t>
  </si>
  <si>
    <t>O0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</si>
  <si>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</si>
  <si>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</si>
  <si>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</si>
  <si>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</si>
  <si>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</si>
  <si>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</si>
  <si>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</si>
  <si>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</si>
  <si>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</si>
  <si>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Output 1</t>
  </si>
  <si>
    <t>A14</t>
  </si>
  <si>
    <t>00011100</t>
  </si>
  <si>
    <t>00011101</t>
  </si>
  <si>
    <t>00110101</t>
  </si>
  <si>
    <t>00001101</t>
  </si>
  <si>
    <t>10001101</t>
  </si>
  <si>
    <t>00101100</t>
  </si>
  <si>
    <t>00101101</t>
  </si>
  <si>
    <t>00110100</t>
  </si>
  <si>
    <t>00001010</t>
  </si>
  <si>
    <t>01001010</t>
  </si>
  <si>
    <t>/A11</t>
  </si>
  <si>
    <t>M8</t>
  </si>
  <si>
    <t>M7</t>
  </si>
  <si>
    <t>M6</t>
  </si>
  <si>
    <t>M5</t>
  </si>
  <si>
    <t>M4</t>
  </si>
  <si>
    <t>M3</t>
  </si>
  <si>
    <t>M2</t>
  </si>
  <si>
    <t>M1</t>
  </si>
  <si>
    <t>GAL-PIN</t>
  </si>
  <si>
    <t xml:space="preserve">Moser </t>
  </si>
  <si>
    <t>/EN-AL-&gt;AH, enabling line to IC7</t>
  </si>
  <si>
    <t>RAM-/CS1, enabling line to IC9</t>
  </si>
  <si>
    <t>ROM-/CE, enabling line to IC8</t>
  </si>
  <si>
    <t>ROM-Banksel, A13 line to IC8 and enabling line to IC9</t>
  </si>
  <si>
    <t>Select-A[0..3|4..7]-&gt;AL, (enabling line to IC4)</t>
  </si>
  <si>
    <t>Fetch 2MHz mode, enabling line to diode D1</t>
  </si>
  <si>
    <t>/EN-A[4..7]-&gt;AH, enabling line to IC5, pin 1</t>
  </si>
  <si>
    <t>A12 -Ext</t>
  </si>
  <si>
    <t>A11 - Ext</t>
  </si>
  <si>
    <t>A15 - Ext</t>
  </si>
  <si>
    <t>O1  =  A11*/A15*A14*A13*/A12</t>
  </si>
  <si>
    <t>O3  =  A11*/A15*A14*A13*A12</t>
  </si>
  <si>
    <t>/O7  =  /A15*A14*A13*A12</t>
  </si>
  <si>
    <t>O8  =  /O7</t>
  </si>
  <si>
    <t>original Moser Tabelle V1.2</t>
  </si>
  <si>
    <t>zusätzliche Programmierung</t>
  </si>
  <si>
    <t>off</t>
  </si>
  <si>
    <t>/O5  =  A14*A13*/off</t>
  </si>
  <si>
    <t>/O6  =  (/A15*A14*/A13  +  /A11*/A15*/A13*A12)*/off</t>
  </si>
  <si>
    <t>O9  =  (A11*A15  + A11*/A14  +  /A15*A14*/A12)*/off+A11</t>
  </si>
  <si>
    <t>O0  = (A15*/A13)*/off+A15</t>
  </si>
  <si>
    <t>O2  = (/A15*A12  +  A15*/A13*A12  +  /A11*A15*A13)*/off+A12</t>
  </si>
  <si>
    <t>O0  =  A15*/A13*/off  +  A15*off</t>
  </si>
  <si>
    <t>O2  = /A15*A12*/off  +  A15*/A13*A12*/off  +  /A11*A15*A13*/off  +  A12*off</t>
  </si>
  <si>
    <t>/O6  =  /A15*A14*/A13*/off  +  /A11*/A15*/A13*A12*/off</t>
  </si>
  <si>
    <t>O9  =  A11*A15*/off  + A11*/A14*/off  +  /A15*A14*/A12*/off  +  A11*off</t>
  </si>
  <si>
    <t>O1  =  A11*/A15*A14*A13*/A12*/off</t>
  </si>
  <si>
    <t>O4  =  /O6  +  A15*A14*A13</t>
  </si>
  <si>
    <t>74LS123</t>
  </si>
  <si>
    <t>A</t>
  </si>
  <si>
    <t>B</t>
  </si>
  <si>
    <t>/Q</t>
  </si>
  <si>
    <t>X</t>
  </si>
  <si>
    <t>L</t>
  </si>
  <si>
    <t>H</t>
  </si>
  <si>
    <t>up</t>
  </si>
  <si>
    <t>/Pulse</t>
  </si>
  <si>
    <t>down</t>
  </si>
  <si>
    <t>CLEAR</t>
  </si>
  <si>
    <t>/Pulse 2M</t>
  </si>
  <si>
    <t>/Pulse 1M</t>
  </si>
  <si>
    <t>A=H   /2Mhz</t>
  </si>
  <si>
    <t>A=L  2Mhz</t>
  </si>
  <si>
    <t>Pulse 2M</t>
  </si>
  <si>
    <t>NAND 2MHZ</t>
  </si>
  <si>
    <t>NAND 1MHZ</t>
  </si>
  <si>
    <t>original 1M</t>
  </si>
  <si>
    <t>74LS74</t>
  </si>
  <si>
    <t>/PR</t>
  </si>
  <si>
    <t>/CLR</t>
  </si>
  <si>
    <t>CLK</t>
  </si>
  <si>
    <t>D</t>
  </si>
  <si>
    <t>/Q0</t>
  </si>
  <si>
    <t>Status nach Reset ist ?</t>
  </si>
  <si>
    <t>Bei Einer positiven Flanke von Set-Clock wird /Q entsprechend A1 (FFA) bzw. A2 (FFB) gesetzt . A1bzwA2 = Q</t>
  </si>
  <si>
    <t>Enable 2MHz:</t>
  </si>
  <si>
    <t>FFB</t>
  </si>
  <si>
    <t xml:space="preserve">ODER </t>
  </si>
  <si>
    <t>UND</t>
  </si>
  <si>
    <t>A14 = 0</t>
  </si>
  <si>
    <t>FFA</t>
  </si>
  <si>
    <t>Floppy</t>
  </si>
  <si>
    <t>FFB durch A2 und positive FlanKe von Set-Clock gesetzt (/Q=0)</t>
  </si>
  <si>
    <t>FFA durch /A1 und positive Flanke von Setclock gelöscht (/Q=1)</t>
  </si>
  <si>
    <t>A1</t>
  </si>
  <si>
    <t>A2</t>
  </si>
  <si>
    <t>/2MHz</t>
  </si>
  <si>
    <t>aus</t>
  </si>
  <si>
    <t>ein</t>
  </si>
  <si>
    <t>V4</t>
  </si>
  <si>
    <t>/O2  = /A12* A14*/A15 + /A12*A13*/A15 + A11*/A12*/A15 + /A12*/A13*A15 + A11*A13*/A14*A15*/off + /A12*off</t>
  </si>
  <si>
    <t>O6  =  A15 + A13 + A11*/A14 + off</t>
  </si>
  <si>
    <t>/O9  = /A11*/A14 + /A11*A15 + A12*A14*/A15*/off + A13*A14*A15*/off + /A11*off</t>
  </si>
  <si>
    <t>O0  =  A15*/A13  +  A15*off</t>
  </si>
  <si>
    <t>alt</t>
  </si>
  <si>
    <t>;</t>
  </si>
  <si>
    <t>Reparatur</t>
  </si>
  <si>
    <t>RAM Austausch</t>
  </si>
  <si>
    <t>Für V0.4 Platine    A11=8 A15=7 A14=6 A13=5 A12=4 off=2 (Backup)</t>
  </si>
  <si>
    <t>]</t>
  </si>
  <si>
    <t>[</t>
  </si>
  <si>
    <t>Pin</t>
  </si>
  <si>
    <t>A11,A15,A14,A13,A12,off pin 7..2;</t>
  </si>
  <si>
    <t>O0,O1,O2,O3,O4,O5,O6,O7,O8,O9 pin 14..23 istype 'com';</t>
  </si>
  <si>
    <t>O0=  A11&amp;!A15&amp;A14&amp;A13&amp;!A12&amp;!off;</t>
  </si>
  <si>
    <t>O1=  !O2  #  A15&amp;A14&amp;A13;</t>
  </si>
  <si>
    <t>O2=  A15 # A13 # A11&amp;!A14 # off&amp;A12  #  off&amp;A14;</t>
  </si>
  <si>
    <t>O3=  A11&amp;!A15&amp;A14&amp;A13&amp;A12;</t>
  </si>
  <si>
    <t>!O4=  A14&amp;A13&amp;!off;</t>
  </si>
  <si>
    <t>O5  =  A15&amp;!A13  #  A15&amp;off;</t>
  </si>
  <si>
    <t>O8=  A12&amp;!A15  #  A12&amp;!A13  #  !A11&amp;A13&amp;A15&amp;!off  #  A13&amp;A14&amp;A15&amp;!off  #   !A11&amp;!A13&amp;!A14&amp;!A15  #  off&amp;A12;</t>
  </si>
  <si>
    <t>!O9= !A11&amp;!A14 # !A11&amp;A15 # A12&amp;A14&amp;!A15&amp;!off # A13&amp;A14&amp;A15&amp;!off # !A11&amp;off;</t>
  </si>
  <si>
    <t>V5C  für  Prototyp Platinen</t>
  </si>
  <si>
    <t>O6 =  !A15&amp;A14&amp;A13&amp;A12;</t>
  </si>
  <si>
    <t xml:space="preserve">V4C für V0.4 Platinen </t>
  </si>
  <si>
    <t>A11,A15,A14,A13,A12,off pin 8,7,6,5,4,2;</t>
  </si>
  <si>
    <t>O0,O1,O2,O3,O4,O5,O6,O7,O8,O9 pin 15,18,20,17,19,14,22,21,16,23 istype 'com';</t>
  </si>
  <si>
    <t>O7=  !O6</t>
  </si>
  <si>
    <t>O7=  1</t>
  </si>
  <si>
    <t>V4D für V0.4 Platinen (Umgebaut, Eprom noch nicht getauscht)</t>
  </si>
  <si>
    <t>1541 C</t>
  </si>
  <si>
    <t>Professional DOS org</t>
  </si>
  <si>
    <t>Professional DOS mod</t>
  </si>
  <si>
    <t>DolphinDos 2 in 1541C</t>
  </si>
  <si>
    <t>Dolphin Dos 3</t>
  </si>
  <si>
    <t>Speeddos-Expert 1541</t>
  </si>
  <si>
    <t>1541 II original</t>
  </si>
  <si>
    <t>1571 mit Dolphin</t>
  </si>
  <si>
    <t>Dopphin Dos
32k ROM</t>
  </si>
  <si>
    <t>32k ROM</t>
  </si>
  <si>
    <t>$F800</t>
  </si>
  <si>
    <t>$F000</t>
  </si>
  <si>
    <t>$E800</t>
  </si>
  <si>
    <t>$E000</t>
  </si>
  <si>
    <t>$D800</t>
  </si>
  <si>
    <t>$D000</t>
  </si>
  <si>
    <t>$C800</t>
  </si>
  <si>
    <t>$C000</t>
  </si>
  <si>
    <t>GCR</t>
  </si>
  <si>
    <t>DOS-Extension</t>
  </si>
  <si>
    <t>$B800</t>
  </si>
  <si>
    <t>$B000</t>
  </si>
  <si>
    <t>$A800</t>
  </si>
  <si>
    <t>$A000</t>
  </si>
  <si>
    <t>RAM</t>
  </si>
  <si>
    <t>$9800</t>
  </si>
  <si>
    <t>$9000</t>
  </si>
  <si>
    <t>$8800</t>
  </si>
  <si>
    <t>$8000</t>
  </si>
  <si>
    <t>VIA 2 Spiegelung</t>
  </si>
  <si>
    <t>VIA 1 Spiegelung</t>
  </si>
  <si>
    <t>$7800</t>
  </si>
  <si>
    <t>Tot-Adressraum</t>
  </si>
  <si>
    <t>$7000</t>
  </si>
  <si>
    <t>Fetch2MHZ</t>
  </si>
  <si>
    <t>$6800</t>
  </si>
  <si>
    <t>$6000</t>
  </si>
  <si>
    <t>Zusatz-PIA</t>
  </si>
  <si>
    <t>$5800</t>
  </si>
  <si>
    <t>$5000</t>
  </si>
  <si>
    <t>$4800</t>
  </si>
  <si>
    <t>$4000</t>
  </si>
  <si>
    <t>CIA</t>
  </si>
  <si>
    <t>$3800</t>
  </si>
  <si>
    <t>$3000</t>
  </si>
  <si>
    <t>$2800</t>
  </si>
  <si>
    <t>$2000</t>
  </si>
  <si>
    <t>VIA 2</t>
  </si>
  <si>
    <t>$1C00</t>
  </si>
  <si>
    <t>VIA 1</t>
  </si>
  <si>
    <t>$1800</t>
  </si>
  <si>
    <t>$1000</t>
  </si>
  <si>
    <t>$0800</t>
  </si>
  <si>
    <t>$0000</t>
  </si>
  <si>
    <t>truth_table</t>
  </si>
  <si>
    <t>(</t>
  </si>
  <si>
    <t>)</t>
  </si>
  <si>
    <t>-&gt;</t>
  </si>
  <si>
    <t>Eprom A14</t>
  </si>
  <si>
    <t>High-Rom ProfDos</t>
  </si>
  <si>
    <t>High-Rom auf dem Board</t>
  </si>
  <si>
    <t>"</t>
  </si>
  <si>
    <t>Low-Rom auf dem Board</t>
  </si>
  <si>
    <t>x</t>
  </si>
  <si>
    <t>high</t>
  </si>
  <si>
    <t>low</t>
  </si>
  <si>
    <t>ram</t>
  </si>
  <si>
    <t>1571 ProfDos 6526</t>
  </si>
  <si>
    <t>1571 original 6526</t>
  </si>
  <si>
    <t>1571 original 5710</t>
  </si>
  <si>
    <t>Professional Dos
32k ROM</t>
  </si>
  <si>
    <t>ProfDos RAM</t>
  </si>
  <si>
    <t>Here be dragons</t>
  </si>
  <si>
    <t>Fetch 2MHz mode (A13-ext bei 1571)</t>
  </si>
  <si>
    <t>Eprom A13 (A14-ext bei1571)</t>
  </si>
  <si>
    <t>1541 TurboTrans</t>
  </si>
  <si>
    <t>C64</t>
  </si>
  <si>
    <t>8k Hi-ROM</t>
  </si>
  <si>
    <t>8k Hi-ROM
Dolphin-DOS</t>
  </si>
  <si>
    <t>8k Hi-ROM
Professional Dos</t>
  </si>
  <si>
    <t>TurboAccess
R2.8</t>
  </si>
  <si>
    <t>Kernal-ROM</t>
  </si>
  <si>
    <t>8k Lo-ROM</t>
  </si>
  <si>
    <t>8k Lo-ROM
Dolphin-DOS</t>
  </si>
  <si>
    <t>8k Lo-ROM
(auf Eprom)</t>
  </si>
  <si>
    <t>I/O
Character-Rom</t>
  </si>
  <si>
    <t>Speicher</t>
  </si>
  <si>
    <t>8k Hi-ROM
Spiegelung</t>
  </si>
  <si>
    <t>SRAM</t>
  </si>
  <si>
    <t>Basic-ROM</t>
  </si>
  <si>
    <t>8k Lo-ROM
Spiegelung</t>
  </si>
  <si>
    <t>FF</t>
  </si>
  <si>
    <t>TurboTrans
3.4</t>
  </si>
  <si>
    <t>Hauptspeicher</t>
  </si>
  <si>
    <t>2k RAM
Spiegelung</t>
  </si>
  <si>
    <t>CIA Spiegelung</t>
  </si>
  <si>
    <t>TT-Rambank II Spiegel.</t>
  </si>
  <si>
    <t>TT-Rambank II (256k)</t>
  </si>
  <si>
    <t>TT-Rambank I Spiegel.</t>
  </si>
  <si>
    <t>TT-Rambank I (256k)</t>
  </si>
  <si>
    <t>Zähler erhöhen</t>
  </si>
  <si>
    <t>Zähler auf 0 setzen</t>
  </si>
  <si>
    <t>2k RAM für Floppy</t>
  </si>
  <si>
    <t>TT-Ram ausschalten</t>
  </si>
  <si>
    <t>TT-Ram einschalten</t>
  </si>
  <si>
    <t>2k RAM Floppy
Spiegelung</t>
  </si>
  <si>
    <t>RAM $5000-$5800</t>
  </si>
  <si>
    <t>TT-Rom einschalten</t>
  </si>
  <si>
    <t>TT-Rom ausschalten</t>
  </si>
  <si>
    <t>2k RAM</t>
  </si>
  <si>
    <t>2k RAM vom 6164</t>
  </si>
  <si>
    <t>Zeropage</t>
  </si>
  <si>
    <t>ProfDos ein, RAM ProfDOS, LoRom org</t>
  </si>
  <si>
    <t>ProfDos aus, RAM onboard, LoRom org, HiRom org</t>
  </si>
  <si>
    <t>Dolphin</t>
  </si>
  <si>
    <t>DolphinDOS RAM</t>
  </si>
  <si>
    <t>DolphinDOS HiRom (C000)</t>
  </si>
  <si>
    <t>DolphinDOS LoRom (A000)</t>
  </si>
  <si>
    <t>DolphinDOS Dos-Extension (8000)</t>
  </si>
  <si>
    <t>ProfDos aus, RAM onboard, LoRom &amp; HiRom DolphinDos</t>
  </si>
  <si>
    <t>Original</t>
  </si>
  <si>
    <t>DolphinDos</t>
  </si>
  <si>
    <t>Low-Rom auf ProfDos</t>
  </si>
  <si>
    <t>ProfDos ein, RAM org, LoRom alt</t>
  </si>
  <si>
    <t>(Zeile nur einfach aufgeführt)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</si>
</sst>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 style="hair">
        <color auto="1"/>
      </left>
      <right/>
      <top style="thin">
        <color indexed="64"/>
      </top>
      <bottom style="thick">
        <color indexed="64"/>
      </bottom>
      <diagonal/>
    </border>
    <border>
      <left style="thick">
        <color auto="1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medium">
        <color indexed="64"/>
      </right>
      <top/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3">
    <xf numFmtId="0" fontId="0" fillId="0" borderId="0" xfId="0"/>
    <xf numFmtId="0" fontId="0" fillId="0" borderId="0" xfId="0" applyFill="1" applyBorder="1" applyAlignment="1">
      <alignment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19" xfId="0" applyFill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3" xfId="0" applyFill="1" applyBorder="1" applyAlignment="1">
      <alignment horizontal="center"/>
    </xf>
    <xf numFmtId="0" fontId="0" fillId="0" borderId="0" xfId="0" applyBorder="1"/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2" xfId="0" applyBorder="1"/>
    <xf numFmtId="0" fontId="0" fillId="0" borderId="30" xfId="0" applyFill="1" applyBorder="1" applyAlignment="1">
      <alignment horizontal="center" vertical="center"/>
    </xf>
    <xf numFmtId="0" fontId="0" fillId="0" borderId="30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Fill="1" applyBorder="1" applyAlignment="1">
      <alignment vertical="center"/>
    </xf>
    <xf numFmtId="0" fontId="0" fillId="0" borderId="29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2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4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30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5" borderId="0" xfId="0" applyFill="1" applyBorder="1"/>
    <xf numFmtId="0" fontId="0" fillId="0" borderId="5" xfId="0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5" xfId="0" applyNumberForma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30" xfId="0" applyNumberFormat="1" applyFill="1" applyBorder="1" applyAlignment="1">
      <alignment horizontal="center"/>
    </xf>
    <xf numFmtId="0" fontId="0" fillId="0" borderId="6" xfId="0" applyNumberFormat="1" applyFill="1" applyBorder="1" applyAlignment="1">
      <alignment horizontal="center"/>
    </xf>
    <xf numFmtId="0" fontId="0" fillId="0" borderId="29" xfId="0" applyNumberFormat="1" applyFill="1" applyBorder="1" applyAlignment="1">
      <alignment horizontal="center"/>
    </xf>
    <xf numFmtId="0" fontId="0" fillId="0" borderId="2" xfId="0" applyNumberFormat="1" applyFill="1" applyBorder="1" applyAlignment="1">
      <alignment horizontal="center"/>
    </xf>
    <xf numFmtId="0" fontId="0" fillId="0" borderId="9" xfId="0" applyFill="1" applyBorder="1"/>
    <xf numFmtId="0" fontId="0" fillId="6" borderId="0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3" xfId="0" applyNumberFormat="1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0" borderId="33" xfId="0" applyNumberFormat="1" applyFill="1" applyBorder="1" applyAlignment="1">
      <alignment horizontal="center"/>
    </xf>
    <xf numFmtId="0" fontId="0" fillId="0" borderId="34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0" fillId="5" borderId="6" xfId="0" applyFill="1" applyBorder="1"/>
    <xf numFmtId="0" fontId="0" fillId="6" borderId="29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0" borderId="4" xfId="0" applyFill="1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37" xfId="0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39" xfId="0" applyFill="1" applyBorder="1" applyAlignment="1">
      <alignment horizontal="center"/>
    </xf>
    <xf numFmtId="0" fontId="0" fillId="6" borderId="40" xfId="0" applyFill="1" applyBorder="1" applyAlignment="1">
      <alignment horizontal="center"/>
    </xf>
    <xf numFmtId="0" fontId="0" fillId="0" borderId="40" xfId="0" applyFill="1" applyBorder="1" applyAlignment="1">
      <alignment horizontal="center"/>
    </xf>
    <xf numFmtId="0" fontId="0" fillId="0" borderId="40" xfId="0" applyNumberFormat="1" applyFill="1" applyBorder="1" applyAlignment="1">
      <alignment horizontal="center"/>
    </xf>
    <xf numFmtId="0" fontId="0" fillId="0" borderId="38" xfId="0" applyNumberForma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3" xfId="0" applyNumberFormat="1" applyFill="1" applyBorder="1" applyAlignment="1">
      <alignment horizontal="center"/>
    </xf>
    <xf numFmtId="0" fontId="0" fillId="4" borderId="34" xfId="0" applyNumberFormat="1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0" xfId="0" applyFont="1" applyFill="1" applyBorder="1" applyAlignment="1">
      <alignment horizontal="center"/>
    </xf>
    <xf numFmtId="0" fontId="0" fillId="0" borderId="0" xfId="0" applyBorder="1" applyAlignment="1"/>
    <xf numFmtId="0" fontId="0" fillId="0" borderId="0" xfId="0" applyAlignment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30" xfId="0" applyBorder="1"/>
    <xf numFmtId="0" fontId="0" fillId="0" borderId="3" xfId="0" applyBorder="1"/>
    <xf numFmtId="0" fontId="0" fillId="0" borderId="1" xfId="0" applyBorder="1"/>
    <xf numFmtId="0" fontId="0" fillId="0" borderId="29" xfId="0" applyBorder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 applyBorder="1" applyAlignment="1">
      <alignment horizontal="right"/>
    </xf>
    <xf numFmtId="0" fontId="0" fillId="0" borderId="2" xfId="0" applyBorder="1"/>
    <xf numFmtId="0" fontId="0" fillId="0" borderId="4" xfId="0" applyBorder="1"/>
    <xf numFmtId="0" fontId="0" fillId="0" borderId="0" xfId="0" applyAlignment="1">
      <alignment horizontal="left"/>
    </xf>
    <xf numFmtId="0" fontId="0" fillId="0" borderId="4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8" borderId="0" xfId="0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0" fillId="9" borderId="34" xfId="0" applyNumberFormat="1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9" borderId="38" xfId="0" applyNumberFormat="1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44" xfId="0" applyFill="1" applyBorder="1"/>
    <xf numFmtId="0" fontId="0" fillId="0" borderId="44" xfId="0" applyBorder="1"/>
    <xf numFmtId="0" fontId="0" fillId="0" borderId="44" xfId="0" applyBorder="1" applyAlignment="1"/>
    <xf numFmtId="0" fontId="0" fillId="0" borderId="45" xfId="0" applyBorder="1" applyAlignment="1"/>
    <xf numFmtId="0" fontId="0" fillId="0" borderId="46" xfId="0" applyFill="1" applyBorder="1" applyAlignment="1">
      <alignment horizontal="center"/>
    </xf>
    <xf numFmtId="0" fontId="0" fillId="0" borderId="47" xfId="0" applyBorder="1" applyAlignment="1"/>
    <xf numFmtId="0" fontId="0" fillId="0" borderId="47" xfId="0" applyBorder="1"/>
    <xf numFmtId="0" fontId="0" fillId="0" borderId="0" xfId="0" applyFill="1" applyBorder="1"/>
    <xf numFmtId="0" fontId="0" fillId="0" borderId="48" xfId="0" applyFill="1" applyBorder="1" applyAlignment="1">
      <alignment horizontal="center"/>
    </xf>
    <xf numFmtId="0" fontId="0" fillId="0" borderId="40" xfId="0" applyFont="1" applyFill="1" applyBorder="1" applyAlignment="1">
      <alignment horizontal="center"/>
    </xf>
    <xf numFmtId="0" fontId="0" fillId="0" borderId="40" xfId="0" applyBorder="1"/>
    <xf numFmtId="0" fontId="0" fillId="2" borderId="40" xfId="0" applyFill="1" applyBorder="1" applyAlignment="1">
      <alignment horizontal="left"/>
    </xf>
    <xf numFmtId="0" fontId="0" fillId="0" borderId="49" xfId="0" applyBorder="1"/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0" xfId="0" applyFill="1" applyBorder="1"/>
    <xf numFmtId="0" fontId="0" fillId="0" borderId="47" xfId="0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/>
    <xf numFmtId="0" fontId="0" fillId="0" borderId="3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30" xfId="0" applyBorder="1"/>
    <xf numFmtId="0" fontId="0" fillId="0" borderId="55" xfId="0" applyBorder="1"/>
    <xf numFmtId="0" fontId="0" fillId="0" borderId="0" xfId="0" applyAlignment="1">
      <alignment horizontal="center"/>
    </xf>
    <xf numFmtId="0" fontId="0" fillId="8" borderId="50" xfId="0" applyFill="1" applyBorder="1" applyAlignment="1">
      <alignment horizontal="center" vertical="center"/>
    </xf>
    <xf numFmtId="0" fontId="0" fillId="10" borderId="50" xfId="0" applyFill="1" applyBorder="1" applyAlignment="1">
      <alignment horizontal="center" vertical="center"/>
    </xf>
    <xf numFmtId="0" fontId="0" fillId="5" borderId="55" xfId="0" applyFill="1" applyBorder="1"/>
    <xf numFmtId="0" fontId="0" fillId="5" borderId="0" xfId="0" applyFill="1"/>
    <xf numFmtId="0" fontId="0" fillId="3" borderId="50" xfId="0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5" borderId="30" xfId="0" applyFill="1" applyBorder="1"/>
    <xf numFmtId="0" fontId="0" fillId="0" borderId="32" xfId="0" applyBorder="1"/>
    <xf numFmtId="49" fontId="0" fillId="0" borderId="0" xfId="0" applyNumberFormat="1" applyFill="1" applyBorder="1" applyAlignment="1">
      <alignment horizontal="center"/>
    </xf>
    <xf numFmtId="49" fontId="0" fillId="0" borderId="0" xfId="0" applyNumberFormat="1" applyFill="1" applyBorder="1"/>
    <xf numFmtId="1" fontId="0" fillId="2" borderId="0" xfId="0" applyNumberFormat="1" applyFill="1" applyBorder="1" applyAlignment="1">
      <alignment horizontal="center"/>
    </xf>
    <xf numFmtId="1" fontId="0" fillId="5" borderId="0" xfId="0" applyNumberFormat="1" applyFill="1" applyBorder="1" applyAlignment="1">
      <alignment horizontal="center"/>
    </xf>
    <xf numFmtId="0" fontId="0" fillId="14" borderId="0" xfId="0" applyFill="1" applyBorder="1" applyAlignment="1">
      <alignment horizontal="left" textRotation="30"/>
    </xf>
    <xf numFmtId="1" fontId="0" fillId="0" borderId="43" xfId="0" applyNumberFormat="1" applyFill="1" applyBorder="1" applyAlignment="1">
      <alignment horizontal="center"/>
    </xf>
    <xf numFmtId="1" fontId="0" fillId="0" borderId="44" xfId="0" applyNumberFormat="1" applyFill="1" applyBorder="1" applyAlignment="1">
      <alignment horizontal="center"/>
    </xf>
    <xf numFmtId="49" fontId="0" fillId="0" borderId="44" xfId="0" applyNumberFormat="1" applyFill="1" applyBorder="1" applyAlignment="1">
      <alignment horizontal="center"/>
    </xf>
    <xf numFmtId="1" fontId="0" fillId="0" borderId="45" xfId="0" applyNumberFormat="1" applyFill="1" applyBorder="1" applyAlignment="1">
      <alignment horizontal="center"/>
    </xf>
    <xf numFmtId="1" fontId="0" fillId="0" borderId="46" xfId="0" applyNumberFormat="1" applyFill="1" applyBorder="1" applyAlignment="1">
      <alignment horizontal="center"/>
    </xf>
    <xf numFmtId="1" fontId="0" fillId="0" borderId="47" xfId="0" applyNumberFormat="1" applyFill="1" applyBorder="1" applyAlignment="1">
      <alignment horizontal="center"/>
    </xf>
    <xf numFmtId="1" fontId="0" fillId="0" borderId="48" xfId="0" applyNumberFormat="1" applyFill="1" applyBorder="1" applyAlignment="1">
      <alignment horizontal="center"/>
    </xf>
    <xf numFmtId="1" fontId="0" fillId="0" borderId="40" xfId="0" applyNumberFormat="1" applyFill="1" applyBorder="1" applyAlignment="1">
      <alignment horizontal="center"/>
    </xf>
    <xf numFmtId="49" fontId="0" fillId="0" borderId="40" xfId="0" applyNumberFormat="1" applyFill="1" applyBorder="1" applyAlignment="1">
      <alignment horizontal="center"/>
    </xf>
    <xf numFmtId="1" fontId="0" fillId="0" borderId="49" xfId="0" applyNumberFormat="1" applyFill="1" applyBorder="1" applyAlignment="1">
      <alignment horizontal="center"/>
    </xf>
    <xf numFmtId="1" fontId="0" fillId="2" borderId="44" xfId="0" applyNumberFormat="1" applyFill="1" applyBorder="1" applyAlignment="1">
      <alignment horizontal="center"/>
    </xf>
    <xf numFmtId="1" fontId="0" fillId="2" borderId="40" xfId="0" applyNumberFormat="1" applyFill="1" applyBorder="1" applyAlignment="1">
      <alignment horizontal="center"/>
    </xf>
    <xf numFmtId="1" fontId="0" fillId="5" borderId="44" xfId="0" applyNumberFormat="1" applyFill="1" applyBorder="1" applyAlignment="1">
      <alignment horizontal="center"/>
    </xf>
    <xf numFmtId="1" fontId="0" fillId="5" borderId="40" xfId="0" applyNumberFormat="1" applyFill="1" applyBorder="1" applyAlignment="1">
      <alignment horizontal="center"/>
    </xf>
    <xf numFmtId="1" fontId="0" fillId="5" borderId="47" xfId="0" applyNumberFormat="1" applyFill="1" applyBorder="1" applyAlignment="1">
      <alignment horizontal="center"/>
    </xf>
    <xf numFmtId="1" fontId="0" fillId="5" borderId="49" xfId="0" applyNumberFormat="1" applyFill="1" applyBorder="1" applyAlignment="1">
      <alignment horizontal="center"/>
    </xf>
    <xf numFmtId="1" fontId="0" fillId="5" borderId="43" xfId="0" applyNumberFormat="1" applyFill="1" applyBorder="1" applyAlignment="1">
      <alignment horizontal="center"/>
    </xf>
    <xf numFmtId="1" fontId="0" fillId="5" borderId="46" xfId="0" applyNumberFormat="1" applyFill="1" applyBorder="1" applyAlignment="1">
      <alignment horizontal="center"/>
    </xf>
    <xf numFmtId="1" fontId="0" fillId="5" borderId="48" xfId="0" applyNumberFormat="1" applyFill="1" applyBorder="1" applyAlignment="1">
      <alignment horizontal="center"/>
    </xf>
    <xf numFmtId="1" fontId="0" fillId="2" borderId="43" xfId="0" applyNumberFormat="1" applyFill="1" applyBorder="1" applyAlignment="1">
      <alignment horizontal="center"/>
    </xf>
    <xf numFmtId="1" fontId="0" fillId="2" borderId="45" xfId="0" applyNumberFormat="1" applyFill="1" applyBorder="1" applyAlignment="1">
      <alignment horizontal="center"/>
    </xf>
    <xf numFmtId="1" fontId="0" fillId="2" borderId="46" xfId="0" applyNumberFormat="1" applyFill="1" applyBorder="1" applyAlignment="1">
      <alignment horizontal="center"/>
    </xf>
    <xf numFmtId="1" fontId="0" fillId="2" borderId="47" xfId="0" applyNumberFormat="1" applyFill="1" applyBorder="1" applyAlignment="1">
      <alignment horizontal="center"/>
    </xf>
    <xf numFmtId="1" fontId="0" fillId="2" borderId="48" xfId="0" applyNumberFormat="1" applyFill="1" applyBorder="1" applyAlignment="1">
      <alignment horizontal="center"/>
    </xf>
    <xf numFmtId="1" fontId="0" fillId="2" borderId="49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1" fontId="2" fillId="0" borderId="0" xfId="0" applyNumberFormat="1" applyFont="1" applyFill="1" applyBorder="1" applyAlignment="1">
      <alignment horizontal="left"/>
    </xf>
    <xf numFmtId="0" fontId="0" fillId="0" borderId="57" xfId="0" applyFill="1" applyBorder="1"/>
    <xf numFmtId="0" fontId="0" fillId="0" borderId="57" xfId="0" applyFill="1" applyBorder="1" applyAlignment="1">
      <alignment horizontal="left"/>
    </xf>
    <xf numFmtId="1" fontId="0" fillId="15" borderId="0" xfId="0" applyNumberFormat="1" applyFill="1" applyBorder="1" applyAlignment="1">
      <alignment horizontal="center"/>
    </xf>
    <xf numFmtId="1" fontId="0" fillId="0" borderId="30" xfId="0" applyNumberFormat="1" applyFill="1" applyBorder="1" applyAlignment="1">
      <alignment horizontal="center"/>
    </xf>
    <xf numFmtId="1" fontId="0" fillId="0" borderId="58" xfId="0" applyNumberFormat="1" applyFill="1" applyBorder="1" applyAlignment="1">
      <alignment horizontal="center"/>
    </xf>
    <xf numFmtId="0" fontId="0" fillId="2" borderId="0" xfId="0" applyFill="1" applyBorder="1"/>
    <xf numFmtId="0" fontId="0" fillId="2" borderId="57" xfId="0" applyFill="1" applyBorder="1"/>
    <xf numFmtId="0" fontId="0" fillId="0" borderId="51" xfId="0" applyFill="1" applyBorder="1"/>
    <xf numFmtId="0" fontId="0" fillId="0" borderId="32" xfId="0" applyFill="1" applyBorder="1"/>
    <xf numFmtId="0" fontId="0" fillId="0" borderId="54" xfId="0" applyFill="1" applyBorder="1"/>
    <xf numFmtId="1" fontId="0" fillId="3" borderId="43" xfId="0" applyNumberFormat="1" applyFill="1" applyBorder="1" applyAlignment="1">
      <alignment horizontal="center"/>
    </xf>
    <xf numFmtId="1" fontId="0" fillId="3" borderId="44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" fontId="0" fillId="16" borderId="56" xfId="0" applyNumberFormat="1" applyFill="1" applyBorder="1" applyAlignment="1">
      <alignment horizontal="center"/>
    </xf>
    <xf numFmtId="1" fontId="0" fillId="16" borderId="59" xfId="0" applyNumberFormat="1" applyFill="1" applyBorder="1" applyAlignment="1">
      <alignment horizontal="center"/>
    </xf>
    <xf numFmtId="1" fontId="0" fillId="5" borderId="0" xfId="0" applyNumberFormat="1" applyFill="1" applyBorder="1" applyAlignment="1">
      <alignment horizontal="left"/>
    </xf>
    <xf numFmtId="1" fontId="0" fillId="3" borderId="46" xfId="0" applyNumberFormat="1" applyFill="1" applyBorder="1" applyAlignment="1">
      <alignment horizontal="center"/>
    </xf>
    <xf numFmtId="1" fontId="0" fillId="3" borderId="0" xfId="0" applyNumberFormat="1" applyFill="1" applyBorder="1" applyAlignment="1">
      <alignment horizontal="center"/>
    </xf>
    <xf numFmtId="1" fontId="0" fillId="3" borderId="47" xfId="0" applyNumberFormat="1" applyFill="1" applyBorder="1" applyAlignment="1">
      <alignment horizontal="center"/>
    </xf>
    <xf numFmtId="1" fontId="0" fillId="3" borderId="48" xfId="0" applyNumberFormat="1" applyFill="1" applyBorder="1" applyAlignment="1">
      <alignment horizontal="center"/>
    </xf>
    <xf numFmtId="1" fontId="0" fillId="3" borderId="40" xfId="0" applyNumberFormat="1" applyFill="1" applyBorder="1" applyAlignment="1">
      <alignment horizontal="center"/>
    </xf>
    <xf numFmtId="1" fontId="0" fillId="3" borderId="49" xfId="0" applyNumberFormat="1" applyFill="1" applyBorder="1" applyAlignment="1">
      <alignment horizontal="center"/>
    </xf>
    <xf numFmtId="0" fontId="0" fillId="3" borderId="51" xfId="0" applyFill="1" applyBorder="1"/>
    <xf numFmtId="0" fontId="0" fillId="3" borderId="54" xfId="0" applyFill="1" applyBorder="1"/>
    <xf numFmtId="49" fontId="0" fillId="3" borderId="0" xfId="0" applyNumberFormat="1" applyFill="1" applyBorder="1" applyAlignment="1">
      <alignment horizontal="center"/>
    </xf>
    <xf numFmtId="0" fontId="0" fillId="3" borderId="32" xfId="0" applyFill="1" applyBorder="1" applyAlignment="1">
      <alignment vertical="center"/>
    </xf>
    <xf numFmtId="0" fontId="0" fillId="3" borderId="54" xfId="0" applyFill="1" applyBorder="1" applyAlignment="1">
      <alignment vertical="center"/>
    </xf>
    <xf numFmtId="49" fontId="0" fillId="3" borderId="44" xfId="0" applyNumberFormat="1" applyFill="1" applyBorder="1" applyAlignment="1">
      <alignment horizontal="center"/>
    </xf>
    <xf numFmtId="49" fontId="0" fillId="3" borderId="40" xfId="0" applyNumberFormat="1" applyFill="1" applyBorder="1" applyAlignment="1">
      <alignment horizontal="center"/>
    </xf>
    <xf numFmtId="0" fontId="0" fillId="3" borderId="51" xfId="0" applyFill="1" applyBorder="1" applyAlignment="1">
      <alignment vertical="center"/>
    </xf>
    <xf numFmtId="1" fontId="0" fillId="16" borderId="0" xfId="0" applyNumberFormat="1" applyFill="1" applyBorder="1" applyAlignment="1">
      <alignment horizontal="center"/>
    </xf>
    <xf numFmtId="1" fontId="0" fillId="16" borderId="48" xfId="0" applyNumberFormat="1" applyFill="1" applyBorder="1" applyAlignment="1">
      <alignment horizontal="center"/>
    </xf>
    <xf numFmtId="1" fontId="0" fillId="16" borderId="49" xfId="0" applyNumberFormat="1" applyFill="1" applyBorder="1" applyAlignment="1">
      <alignment horizontal="center"/>
    </xf>
    <xf numFmtId="1" fontId="0" fillId="0" borderId="51" xfId="0" applyNumberFormat="1" applyFill="1" applyBorder="1" applyAlignment="1">
      <alignment horizontal="left"/>
    </xf>
    <xf numFmtId="1" fontId="0" fillId="5" borderId="45" xfId="0" applyNumberFormat="1" applyFill="1" applyBorder="1" applyAlignment="1">
      <alignment horizontal="center"/>
    </xf>
    <xf numFmtId="0" fontId="0" fillId="9" borderId="51" xfId="0" applyFill="1" applyBorder="1" applyAlignment="1">
      <alignment horizontal="center" vertical="center"/>
    </xf>
    <xf numFmtId="0" fontId="0" fillId="3" borderId="50" xfId="0" applyFill="1" applyBorder="1" applyAlignment="1">
      <alignment vertical="center"/>
    </xf>
    <xf numFmtId="1" fontId="0" fillId="15" borderId="32" xfId="0" applyNumberFormat="1" applyFill="1" applyBorder="1" applyAlignment="1">
      <alignment horizontal="center"/>
    </xf>
    <xf numFmtId="1" fontId="0" fillId="15" borderId="54" xfId="0" applyNumberFormat="1" applyFill="1" applyBorder="1" applyAlignment="1">
      <alignment horizontal="center"/>
    </xf>
    <xf numFmtId="1" fontId="0" fillId="4" borderId="0" xfId="0" applyNumberFormat="1" applyFill="1" applyBorder="1" applyAlignment="1">
      <alignment horizontal="left"/>
    </xf>
    <xf numFmtId="1" fontId="0" fillId="4" borderId="0" xfId="0" applyNumberFormat="1" applyFill="1" applyBorder="1" applyAlignment="1">
      <alignment horizontal="center"/>
    </xf>
    <xf numFmtId="1" fontId="0" fillId="4" borderId="40" xfId="0" applyNumberFormat="1" applyFill="1" applyBorder="1" applyAlignment="1">
      <alignment horizontal="center"/>
    </xf>
    <xf numFmtId="0" fontId="0" fillId="4" borderId="51" xfId="0" applyFill="1" applyBorder="1"/>
    <xf numFmtId="1" fontId="0" fillId="4" borderId="43" xfId="0" applyNumberFormat="1" applyFill="1" applyBorder="1" applyAlignment="1">
      <alignment horizontal="center"/>
    </xf>
    <xf numFmtId="1" fontId="0" fillId="4" borderId="44" xfId="0" applyNumberFormat="1" applyFill="1" applyBorder="1" applyAlignment="1">
      <alignment horizontal="center"/>
    </xf>
    <xf numFmtId="1" fontId="0" fillId="4" borderId="45" xfId="0" applyNumberFormat="1" applyFill="1" applyBorder="1" applyAlignment="1">
      <alignment horizontal="center"/>
    </xf>
    <xf numFmtId="1" fontId="0" fillId="4" borderId="46" xfId="0" applyNumberFormat="1" applyFill="1" applyBorder="1" applyAlignment="1">
      <alignment horizontal="center"/>
    </xf>
    <xf numFmtId="1" fontId="0" fillId="4" borderId="47" xfId="0" applyNumberFormat="1" applyFill="1" applyBorder="1" applyAlignment="1">
      <alignment horizontal="center"/>
    </xf>
    <xf numFmtId="1" fontId="0" fillId="4" borderId="48" xfId="0" applyNumberFormat="1" applyFill="1" applyBorder="1" applyAlignment="1">
      <alignment horizontal="center"/>
    </xf>
    <xf numFmtId="1" fontId="0" fillId="4" borderId="49" xfId="0" applyNumberFormat="1" applyFill="1" applyBorder="1" applyAlignment="1">
      <alignment horizontal="center"/>
    </xf>
    <xf numFmtId="0" fontId="0" fillId="3" borderId="32" xfId="0" applyFill="1" applyBorder="1"/>
    <xf numFmtId="1" fontId="0" fillId="4" borderId="51" xfId="0" applyNumberFormat="1" applyFill="1" applyBorder="1" applyAlignment="1">
      <alignment horizontal="left"/>
    </xf>
    <xf numFmtId="1" fontId="0" fillId="5" borderId="32" xfId="0" applyNumberFormat="1" applyFill="1" applyBorder="1" applyAlignment="1">
      <alignment horizontal="center"/>
    </xf>
    <xf numFmtId="1" fontId="0" fillId="4" borderId="51" xfId="0" applyNumberFormat="1" applyFill="1" applyBorder="1" applyAlignment="1">
      <alignment horizontal="center"/>
    </xf>
    <xf numFmtId="1" fontId="0" fillId="4" borderId="32" xfId="0" applyNumberFormat="1" applyFill="1" applyBorder="1" applyAlignment="1">
      <alignment horizontal="center"/>
    </xf>
    <xf numFmtId="1" fontId="0" fillId="4" borderId="54" xfId="0" applyNumberFormat="1" applyFill="1" applyBorder="1" applyAlignment="1">
      <alignment horizontal="center"/>
    </xf>
    <xf numFmtId="1" fontId="0" fillId="0" borderId="51" xfId="0" applyNumberFormat="1" applyFill="1" applyBorder="1" applyAlignment="1">
      <alignment horizontal="center"/>
    </xf>
    <xf numFmtId="1" fontId="0" fillId="0" borderId="32" xfId="0" applyNumberFormat="1" applyFill="1" applyBorder="1" applyAlignment="1">
      <alignment horizontal="center"/>
    </xf>
    <xf numFmtId="1" fontId="0" fillId="0" borderId="54" xfId="0" applyNumberFormat="1" applyFill="1" applyBorder="1" applyAlignment="1">
      <alignment horizontal="center"/>
    </xf>
    <xf numFmtId="1" fontId="0" fillId="4" borderId="56" xfId="0" applyNumberFormat="1" applyFill="1" applyBorder="1" applyAlignment="1">
      <alignment horizontal="center"/>
    </xf>
    <xf numFmtId="1" fontId="0" fillId="15" borderId="51" xfId="0" applyNumberFormat="1" applyFill="1" applyBorder="1" applyAlignment="1">
      <alignment horizontal="center"/>
    </xf>
    <xf numFmtId="1" fontId="0" fillId="4" borderId="50" xfId="0" applyNumberFormat="1" applyFill="1" applyBorder="1" applyAlignment="1">
      <alignment horizontal="center"/>
    </xf>
    <xf numFmtId="1" fontId="0" fillId="8" borderId="44" xfId="0" applyNumberFormat="1" applyFill="1" applyBorder="1" applyAlignment="1">
      <alignment horizontal="center"/>
    </xf>
    <xf numFmtId="1" fontId="0" fillId="8" borderId="0" xfId="0" applyNumberFormat="1" applyFill="1" applyBorder="1" applyAlignment="1">
      <alignment horizontal="center"/>
    </xf>
    <xf numFmtId="1" fontId="0" fillId="3" borderId="51" xfId="0" applyNumberFormat="1" applyFill="1" applyBorder="1" applyAlignment="1">
      <alignment horizontal="left" vertical="center"/>
    </xf>
    <xf numFmtId="1" fontId="0" fillId="3" borderId="32" xfId="0" applyNumberFormat="1" applyFill="1" applyBorder="1" applyAlignment="1">
      <alignment horizontal="center"/>
    </xf>
    <xf numFmtId="1" fontId="0" fillId="3" borderId="54" xfId="0" applyNumberFormat="1" applyFill="1" applyBorder="1" applyAlignment="1">
      <alignment horizontal="center"/>
    </xf>
    <xf numFmtId="1" fontId="0" fillId="3" borderId="51" xfId="0" applyNumberFormat="1" applyFill="1" applyBorder="1" applyAlignment="1">
      <alignment horizontal="center"/>
    </xf>
    <xf numFmtId="1" fontId="0" fillId="8" borderId="49" xfId="0" applyNumberFormat="1" applyFill="1" applyBorder="1" applyAlignment="1">
      <alignment horizontal="center"/>
    </xf>
    <xf numFmtId="1" fontId="0" fillId="16" borderId="60" xfId="0" applyNumberFormat="1" applyFill="1" applyBorder="1" applyAlignment="1">
      <alignment horizontal="center"/>
    </xf>
    <xf numFmtId="1" fontId="0" fillId="16" borderId="40" xfId="0" applyNumberFormat="1" applyFill="1" applyBorder="1" applyAlignment="1">
      <alignment horizontal="center"/>
    </xf>
    <xf numFmtId="1" fontId="0" fillId="0" borderId="56" xfId="0" applyNumberFormat="1" applyFill="1" applyBorder="1" applyAlignment="1">
      <alignment horizontal="center"/>
    </xf>
    <xf numFmtId="1" fontId="0" fillId="0" borderId="60" xfId="0" applyNumberFormat="1" applyFill="1" applyBorder="1" applyAlignment="1">
      <alignment horizontal="center"/>
    </xf>
    <xf numFmtId="49" fontId="0" fillId="0" borderId="60" xfId="0" applyNumberFormat="1" applyFill="1" applyBorder="1" applyAlignment="1">
      <alignment horizontal="center"/>
    </xf>
    <xf numFmtId="1" fontId="0" fillId="0" borderId="59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Border="1" applyAlignment="1">
      <alignment horizontal="center" textRotation="90"/>
    </xf>
    <xf numFmtId="0" fontId="0" fillId="0" borderId="30" xfId="0" applyBorder="1" applyAlignment="1">
      <alignment horizontal="center" textRotation="90"/>
    </xf>
    <xf numFmtId="0" fontId="0" fillId="3" borderId="29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7" borderId="30" xfId="0" applyFill="1" applyBorder="1" applyAlignment="1">
      <alignment horizontal="center" vertical="center"/>
    </xf>
    <xf numFmtId="0" fontId="0" fillId="7" borderId="8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5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52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 wrapText="1"/>
    </xf>
    <xf numFmtId="0" fontId="0" fillId="3" borderId="32" xfId="0" applyFill="1" applyBorder="1" applyAlignment="1">
      <alignment horizontal="center" vertical="center"/>
    </xf>
    <xf numFmtId="0" fontId="0" fillId="3" borderId="52" xfId="0" applyFill="1" applyBorder="1" applyAlignment="1">
      <alignment horizontal="center" vertical="center"/>
    </xf>
    <xf numFmtId="0" fontId="0" fillId="11" borderId="51" xfId="0" applyFill="1" applyBorder="1" applyAlignment="1">
      <alignment horizontal="center" vertical="center" wrapText="1"/>
    </xf>
    <xf numFmtId="0" fontId="0" fillId="11" borderId="54" xfId="0" applyFill="1" applyBorder="1" applyAlignment="1">
      <alignment horizontal="center" vertical="center"/>
    </xf>
    <xf numFmtId="0" fontId="0" fillId="4" borderId="51" xfId="0" applyFill="1" applyBorder="1" applyAlignment="1">
      <alignment horizontal="center" vertical="center"/>
    </xf>
    <xf numFmtId="0" fontId="0" fillId="4" borderId="52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 wrapText="1"/>
    </xf>
    <xf numFmtId="0" fontId="0" fillId="0" borderId="32" xfId="0" applyFill="1" applyBorder="1" applyAlignment="1">
      <alignment horizontal="center" vertical="center"/>
    </xf>
    <xf numFmtId="0" fontId="0" fillId="0" borderId="54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/>
    </xf>
    <xf numFmtId="0" fontId="0" fillId="12" borderId="51" xfId="0" applyFill="1" applyBorder="1" applyAlignment="1">
      <alignment horizontal="center" vertical="center" wrapText="1"/>
    </xf>
    <xf numFmtId="0" fontId="0" fillId="12" borderId="32" xfId="0" applyFill="1" applyBorder="1" applyAlignment="1">
      <alignment horizontal="center" vertical="center"/>
    </xf>
    <xf numFmtId="0" fontId="0" fillId="12" borderId="52" xfId="0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0" fontId="0" fillId="2" borderId="54" xfId="0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 wrapText="1"/>
    </xf>
    <xf numFmtId="0" fontId="0" fillId="12" borderId="53" xfId="0" applyFill="1" applyBorder="1" applyAlignment="1">
      <alignment horizontal="center" vertical="center" wrapText="1"/>
    </xf>
    <xf numFmtId="0" fontId="0" fillId="12" borderId="54" xfId="0" applyFill="1" applyBorder="1" applyAlignment="1">
      <alignment horizontal="center" vertical="center"/>
    </xf>
    <xf numFmtId="0" fontId="0" fillId="12" borderId="32" xfId="0" applyFill="1" applyBorder="1" applyAlignment="1">
      <alignment horizontal="center" vertical="center" wrapText="1"/>
    </xf>
    <xf numFmtId="0" fontId="0" fillId="12" borderId="54" xfId="0" applyFill="1" applyBorder="1" applyAlignment="1">
      <alignment horizontal="center" vertical="center" wrapText="1"/>
    </xf>
    <xf numFmtId="0" fontId="0" fillId="7" borderId="51" xfId="0" applyFill="1" applyBorder="1" applyAlignment="1">
      <alignment horizontal="center" vertical="center" wrapText="1"/>
    </xf>
    <xf numFmtId="0" fontId="0" fillId="7" borderId="32" xfId="0" applyFill="1" applyBorder="1" applyAlignment="1">
      <alignment horizontal="center" vertical="center"/>
    </xf>
    <xf numFmtId="0" fontId="0" fillId="7" borderId="54" xfId="0" applyFill="1" applyBorder="1" applyAlignment="1">
      <alignment horizontal="center" vertical="center"/>
    </xf>
    <xf numFmtId="0" fontId="0" fillId="13" borderId="51" xfId="0" applyFill="1" applyBorder="1" applyAlignment="1">
      <alignment horizontal="center" vertical="center"/>
    </xf>
    <xf numFmtId="0" fontId="0" fillId="13" borderId="54" xfId="0" applyFill="1" applyBorder="1" applyAlignment="1">
      <alignment horizontal="center" vertical="center"/>
    </xf>
    <xf numFmtId="0" fontId="0" fillId="5" borderId="51" xfId="0" applyFill="1" applyBorder="1" applyAlignment="1">
      <alignment horizontal="center" vertical="center"/>
    </xf>
    <xf numFmtId="0" fontId="0" fillId="5" borderId="54" xfId="0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</cellXfs>
  <cellStyles count="1">
    <cellStyle name="Standard" xfId="0" builtinId="0"/>
  </cellStyles>
  <dxfs count="20"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ProfDosV5D-Truth Tabl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M77"/>
  <sheetViews>
    <sheetView zoomScaleNormal="100" workbookViewId="0">
      <selection activeCell="AO51" sqref="AO51"/>
    </sheetView>
  </sheetViews>
  <sheetFormatPr baseColWidth="10" defaultColWidth="3.85546875" defaultRowHeight="15" x14ac:dyDescent="0.25"/>
  <cols>
    <col min="41" max="41" width="69.42578125" bestFit="1" customWidth="1"/>
    <col min="42" max="45" width="8.28515625" customWidth="1"/>
    <col min="46" max="46" width="22.7109375" customWidth="1"/>
  </cols>
  <sheetData>
    <row r="1" spans="2:63" x14ac:dyDescent="0.25">
      <c r="S1" s="25"/>
      <c r="T1" s="25"/>
      <c r="U1" s="25"/>
      <c r="V1" s="25"/>
      <c r="W1" s="25"/>
      <c r="X1" s="25"/>
      <c r="Y1" s="25"/>
      <c r="Z1" s="25"/>
      <c r="AA1" s="31"/>
      <c r="AB1" s="31"/>
      <c r="AC1" s="23"/>
      <c r="AD1" s="31"/>
      <c r="AE1" s="25"/>
      <c r="AF1" s="25"/>
      <c r="AG1" s="25"/>
      <c r="AH1" s="25"/>
      <c r="AI1" s="25"/>
      <c r="AJ1" s="25"/>
      <c r="AK1" s="25"/>
      <c r="AL1" s="25"/>
      <c r="AM1" s="25"/>
    </row>
    <row r="2" spans="2:63" ht="15.75" customHeight="1" x14ac:dyDescent="0.25">
      <c r="C2" s="50"/>
      <c r="D2" s="50"/>
      <c r="E2" s="50"/>
      <c r="F2" s="50"/>
      <c r="G2" s="50"/>
      <c r="H2" s="321" t="s">
        <v>63</v>
      </c>
      <c r="I2" s="321" t="s">
        <v>61</v>
      </c>
      <c r="J2" s="321" t="s">
        <v>55</v>
      </c>
      <c r="K2" s="321" t="s">
        <v>56</v>
      </c>
      <c r="L2" s="321" t="s">
        <v>57</v>
      </c>
      <c r="M2" s="321" t="s">
        <v>58</v>
      </c>
      <c r="N2" s="321" t="s">
        <v>59</v>
      </c>
      <c r="O2" s="321" t="s">
        <v>62</v>
      </c>
      <c r="P2" s="321" t="s">
        <v>60</v>
      </c>
      <c r="Q2" s="321" t="s">
        <v>64</v>
      </c>
      <c r="S2" s="25"/>
      <c r="T2" s="25"/>
      <c r="U2" s="25"/>
      <c r="V2" s="25"/>
      <c r="W2" s="25"/>
      <c r="X2" s="25"/>
      <c r="Y2" s="25"/>
      <c r="Z2" s="25"/>
      <c r="AA2" s="31"/>
      <c r="AB2" s="31"/>
      <c r="AC2" s="23"/>
      <c r="AD2" s="31"/>
      <c r="AE2" s="25"/>
      <c r="AF2" s="25"/>
      <c r="AG2" s="25"/>
      <c r="AH2" s="25"/>
      <c r="AI2" s="25"/>
      <c r="AJ2" s="25"/>
      <c r="AK2" s="25"/>
      <c r="AL2" s="25"/>
      <c r="AM2" s="25"/>
    </row>
    <row r="3" spans="2:63" x14ac:dyDescent="0.25">
      <c r="C3" s="23"/>
      <c r="D3" s="23"/>
      <c r="E3" s="23"/>
      <c r="F3" s="23"/>
      <c r="G3" s="23"/>
      <c r="H3" s="321"/>
      <c r="I3" s="321"/>
      <c r="J3" s="321"/>
      <c r="K3" s="321"/>
      <c r="L3" s="321"/>
      <c r="M3" s="321"/>
      <c r="N3" s="321"/>
      <c r="O3" s="321"/>
      <c r="P3" s="321"/>
      <c r="Q3" s="321"/>
      <c r="AP3" s="330" t="s">
        <v>70</v>
      </c>
      <c r="AQ3" s="331"/>
      <c r="AR3" s="331"/>
      <c r="AS3" s="332"/>
      <c r="AU3" s="329" t="s">
        <v>69</v>
      </c>
      <c r="AV3" s="329"/>
      <c r="AW3" s="329"/>
      <c r="AX3" s="329"/>
      <c r="AY3" s="329"/>
      <c r="AZ3" s="329"/>
      <c r="BA3" s="329"/>
      <c r="BB3" s="329"/>
      <c r="BC3" s="329"/>
      <c r="BD3" s="329"/>
      <c r="BE3" s="329"/>
      <c r="BF3" s="329"/>
      <c r="BG3" s="329"/>
      <c r="BH3" s="329"/>
      <c r="BI3" s="329"/>
    </row>
    <row r="4" spans="2:63" x14ac:dyDescent="0.25">
      <c r="C4" s="23"/>
      <c r="D4" s="23"/>
      <c r="E4" s="23"/>
      <c r="F4" s="23"/>
      <c r="G4" s="23"/>
      <c r="H4" s="321"/>
      <c r="I4" s="321"/>
      <c r="J4" s="321"/>
      <c r="K4" s="321"/>
      <c r="L4" s="321"/>
      <c r="M4" s="321"/>
      <c r="N4" s="321"/>
      <c r="O4" s="321"/>
      <c r="P4" s="321"/>
      <c r="Q4" s="321"/>
      <c r="AP4" s="57" t="s">
        <v>16</v>
      </c>
      <c r="AQ4" s="327" t="s">
        <v>14</v>
      </c>
      <c r="AR4" s="328"/>
      <c r="AS4" s="102"/>
      <c r="AU4" s="75">
        <v>8</v>
      </c>
      <c r="AV4" s="76">
        <v>7</v>
      </c>
      <c r="AW4" s="76">
        <v>6</v>
      </c>
      <c r="AX4" s="76">
        <v>5</v>
      </c>
      <c r="AY4" s="76">
        <v>4</v>
      </c>
      <c r="AZ4" s="58">
        <v>16</v>
      </c>
      <c r="BA4" s="59">
        <v>14</v>
      </c>
      <c r="BB4" s="76">
        <v>15</v>
      </c>
      <c r="BC4" s="76">
        <v>17</v>
      </c>
      <c r="BD4" s="76">
        <v>18</v>
      </c>
      <c r="BE4" s="76">
        <v>19</v>
      </c>
      <c r="BF4" s="76">
        <v>20</v>
      </c>
      <c r="BG4" s="76">
        <v>21</v>
      </c>
      <c r="BH4" s="76">
        <v>22</v>
      </c>
      <c r="BI4" s="79">
        <v>23</v>
      </c>
      <c r="BJ4" s="333" t="s">
        <v>53</v>
      </c>
      <c r="BK4" s="334"/>
    </row>
    <row r="5" spans="2:63" x14ac:dyDescent="0.25">
      <c r="C5" s="23"/>
      <c r="D5" s="23"/>
      <c r="E5" s="23"/>
      <c r="F5" s="23"/>
      <c r="G5" s="23"/>
      <c r="H5" s="321"/>
      <c r="I5" s="321"/>
      <c r="J5" s="321"/>
      <c r="K5" s="321"/>
      <c r="L5" s="321"/>
      <c r="M5" s="321"/>
      <c r="N5" s="321"/>
      <c r="O5" s="321"/>
      <c r="P5" s="321"/>
      <c r="Q5" s="321"/>
      <c r="AP5" s="13" t="s">
        <v>0</v>
      </c>
      <c r="AQ5" s="16" t="s">
        <v>2</v>
      </c>
      <c r="AR5" s="17" t="s">
        <v>3</v>
      </c>
      <c r="AS5" s="12" t="s">
        <v>13</v>
      </c>
      <c r="AU5" s="80" t="s">
        <v>8</v>
      </c>
      <c r="AV5" s="80" t="s">
        <v>1</v>
      </c>
      <c r="AW5" s="80" t="s">
        <v>33</v>
      </c>
      <c r="AX5" s="80" t="s">
        <v>0</v>
      </c>
      <c r="AY5" s="56" t="s">
        <v>19</v>
      </c>
      <c r="AZ5" s="61"/>
      <c r="BA5" s="62"/>
      <c r="BB5" s="45" t="s">
        <v>45</v>
      </c>
      <c r="BC5" s="45" t="s">
        <v>46</v>
      </c>
      <c r="BD5" s="45" t="s">
        <v>47</v>
      </c>
      <c r="BE5" s="45" t="s">
        <v>48</v>
      </c>
      <c r="BF5" s="45" t="s">
        <v>49</v>
      </c>
      <c r="BG5" s="45" t="s">
        <v>50</v>
      </c>
      <c r="BH5" s="45" t="s">
        <v>51</v>
      </c>
      <c r="BI5" s="46" t="s">
        <v>52</v>
      </c>
      <c r="BJ5" s="335" t="s">
        <v>54</v>
      </c>
      <c r="BK5" s="336"/>
    </row>
    <row r="6" spans="2:63" ht="15" customHeight="1" x14ac:dyDescent="0.25">
      <c r="C6" s="23"/>
      <c r="D6" s="23"/>
      <c r="E6" s="23"/>
      <c r="F6" s="23"/>
      <c r="G6" s="23"/>
      <c r="H6" s="321"/>
      <c r="I6" s="321"/>
      <c r="J6" s="321"/>
      <c r="K6" s="321"/>
      <c r="L6" s="321"/>
      <c r="M6" s="321"/>
      <c r="N6" s="321"/>
      <c r="O6" s="321"/>
      <c r="P6" s="321"/>
      <c r="Q6" s="321"/>
      <c r="AP6" s="14" t="s">
        <v>1</v>
      </c>
      <c r="AQ6" s="18" t="s">
        <v>2</v>
      </c>
      <c r="AR6" s="19" t="s">
        <v>4</v>
      </c>
      <c r="AS6" s="12" t="s">
        <v>13</v>
      </c>
      <c r="AU6" s="52">
        <v>0</v>
      </c>
      <c r="AV6" s="43">
        <v>0</v>
      </c>
      <c r="AW6" s="43">
        <v>0</v>
      </c>
      <c r="AX6" s="43">
        <v>0</v>
      </c>
      <c r="AY6" s="43">
        <v>0</v>
      </c>
      <c r="AZ6" s="52"/>
      <c r="BA6" s="44"/>
      <c r="BB6" s="66"/>
      <c r="BC6" s="66"/>
      <c r="BD6" s="66"/>
      <c r="BE6" s="66">
        <v>1</v>
      </c>
      <c r="BF6" s="66">
        <v>1</v>
      </c>
      <c r="BG6" s="66">
        <v>1</v>
      </c>
      <c r="BH6" s="66"/>
      <c r="BI6" s="67"/>
      <c r="BJ6" t="s">
        <v>34</v>
      </c>
    </row>
    <row r="7" spans="2:63" x14ac:dyDescent="0.25">
      <c r="C7" s="23"/>
      <c r="D7" s="23"/>
      <c r="E7" s="23"/>
      <c r="F7" s="23"/>
      <c r="G7" s="23"/>
      <c r="H7" s="321"/>
      <c r="I7" s="321"/>
      <c r="J7" s="321"/>
      <c r="K7" s="321"/>
      <c r="L7" s="321"/>
      <c r="M7" s="321"/>
      <c r="N7" s="321"/>
      <c r="O7" s="321"/>
      <c r="P7" s="321"/>
      <c r="Q7" s="321"/>
      <c r="S7" s="25"/>
      <c r="T7" s="25"/>
      <c r="U7" s="25"/>
      <c r="V7" s="25"/>
      <c r="W7" s="42" t="s">
        <v>22</v>
      </c>
      <c r="X7" s="25"/>
      <c r="Y7" s="25"/>
      <c r="Z7" s="25"/>
      <c r="AA7" s="25"/>
      <c r="AB7" s="25"/>
      <c r="AC7" s="33"/>
      <c r="AD7" s="25"/>
      <c r="AE7" s="25"/>
      <c r="AF7" s="25"/>
      <c r="AG7" s="25"/>
      <c r="AH7" s="42" t="s">
        <v>27</v>
      </c>
      <c r="AI7" s="25"/>
      <c r="AJ7" s="25"/>
      <c r="AK7" s="25"/>
      <c r="AL7" s="25"/>
      <c r="AM7" s="25"/>
      <c r="AP7" s="14" t="s">
        <v>8</v>
      </c>
      <c r="AQ7" s="18" t="s">
        <v>2</v>
      </c>
      <c r="AR7" s="19" t="s">
        <v>21</v>
      </c>
      <c r="AS7" s="12" t="s">
        <v>13</v>
      </c>
      <c r="AU7" s="47">
        <v>0</v>
      </c>
      <c r="AV7" s="48">
        <v>0</v>
      </c>
      <c r="AW7" s="48">
        <v>0</v>
      </c>
      <c r="AX7" s="48">
        <v>0</v>
      </c>
      <c r="AY7" s="48">
        <v>1</v>
      </c>
      <c r="AZ7" s="47"/>
      <c r="BA7" s="49"/>
      <c r="BB7" s="63"/>
      <c r="BC7" s="63"/>
      <c r="BD7" s="63"/>
      <c r="BE7" s="63">
        <v>1</v>
      </c>
      <c r="BF7" s="63">
        <v>1</v>
      </c>
      <c r="BG7" s="63">
        <v>1</v>
      </c>
      <c r="BH7" s="63"/>
      <c r="BI7" s="51">
        <v>1</v>
      </c>
      <c r="BJ7" t="s">
        <v>35</v>
      </c>
    </row>
    <row r="8" spans="2:63" x14ac:dyDescent="0.25">
      <c r="C8" s="23"/>
      <c r="D8" s="23"/>
      <c r="E8" s="23"/>
      <c r="F8" s="23"/>
      <c r="G8" s="23"/>
      <c r="H8" s="321"/>
      <c r="I8" s="321"/>
      <c r="J8" s="321"/>
      <c r="K8" s="321"/>
      <c r="L8" s="321"/>
      <c r="M8" s="321"/>
      <c r="N8" s="321"/>
      <c r="O8" s="321"/>
      <c r="P8" s="321"/>
      <c r="Q8" s="321"/>
      <c r="S8" s="26"/>
      <c r="T8" s="27"/>
      <c r="U8" s="323" t="s">
        <v>8</v>
      </c>
      <c r="V8" s="323"/>
      <c r="W8" s="41"/>
      <c r="X8" s="27"/>
      <c r="Y8" s="323" t="s">
        <v>8</v>
      </c>
      <c r="Z8" s="323"/>
      <c r="AA8" s="40"/>
      <c r="AB8" s="28"/>
      <c r="AC8" s="33"/>
      <c r="AD8" s="26"/>
      <c r="AE8" s="27"/>
      <c r="AF8" s="323" t="s">
        <v>8</v>
      </c>
      <c r="AG8" s="323"/>
      <c r="AH8" s="41"/>
      <c r="AI8" s="27"/>
      <c r="AJ8" s="323" t="s">
        <v>8</v>
      </c>
      <c r="AK8" s="323"/>
      <c r="AL8" s="40"/>
      <c r="AM8" s="28"/>
      <c r="AP8" s="14" t="s">
        <v>19</v>
      </c>
      <c r="AQ8" s="18" t="s">
        <v>2</v>
      </c>
      <c r="AR8" s="19" t="s">
        <v>18</v>
      </c>
      <c r="AS8" s="12" t="s">
        <v>13</v>
      </c>
      <c r="AU8" s="47">
        <v>0</v>
      </c>
      <c r="AV8" s="48">
        <v>0</v>
      </c>
      <c r="AW8" s="48">
        <v>0</v>
      </c>
      <c r="AX8" s="48">
        <v>1</v>
      </c>
      <c r="AY8" s="48">
        <v>0</v>
      </c>
      <c r="AZ8" s="47"/>
      <c r="BA8" s="49"/>
      <c r="BB8" s="63"/>
      <c r="BC8" s="63"/>
      <c r="BD8" s="63"/>
      <c r="BE8" s="63">
        <v>1</v>
      </c>
      <c r="BF8" s="63">
        <v>1</v>
      </c>
      <c r="BG8" s="63">
        <v>1</v>
      </c>
      <c r="BH8" s="63"/>
      <c r="BI8" s="51"/>
      <c r="BJ8" t="s">
        <v>34</v>
      </c>
    </row>
    <row r="9" spans="2:63" ht="15" customHeight="1" x14ac:dyDescent="0.25">
      <c r="B9" s="81"/>
      <c r="C9" s="81"/>
      <c r="D9" s="82"/>
      <c r="E9" s="82"/>
      <c r="F9" s="82"/>
      <c r="G9" s="68"/>
      <c r="H9" s="322"/>
      <c r="I9" s="322"/>
      <c r="J9" s="322"/>
      <c r="K9" s="322"/>
      <c r="L9" s="322"/>
      <c r="M9" s="322"/>
      <c r="N9" s="322"/>
      <c r="O9" s="322"/>
      <c r="P9" s="322"/>
      <c r="Q9" s="322"/>
      <c r="S9" s="29"/>
      <c r="T9" s="93">
        <f>Q$12</f>
        <v>0</v>
      </c>
      <c r="U9" s="95">
        <f>Q$28</f>
        <v>0</v>
      </c>
      <c r="V9" s="95">
        <f>Q$32</f>
        <v>0</v>
      </c>
      <c r="W9" s="94">
        <f>Q$16</f>
        <v>0</v>
      </c>
      <c r="X9" s="95">
        <f>Q$18</f>
        <v>1</v>
      </c>
      <c r="Y9" s="95">
        <f>Q$34</f>
        <v>1</v>
      </c>
      <c r="Z9" s="95">
        <f>Q$30</f>
        <v>1</v>
      </c>
      <c r="AA9" s="94">
        <f>Q$14</f>
        <v>1</v>
      </c>
      <c r="AB9" s="30"/>
      <c r="AC9" s="33"/>
      <c r="AD9" s="29"/>
      <c r="AE9" s="93">
        <f>L$12</f>
        <v>1</v>
      </c>
      <c r="AF9" s="95">
        <f>L$28</f>
        <v>1</v>
      </c>
      <c r="AG9" s="95">
        <f>L$32</f>
        <v>1</v>
      </c>
      <c r="AH9" s="94">
        <f>L$16</f>
        <v>1</v>
      </c>
      <c r="AI9" s="95">
        <f>L$18</f>
        <v>1</v>
      </c>
      <c r="AJ9" s="95">
        <f>L$34</f>
        <v>1</v>
      </c>
      <c r="AK9" s="95">
        <f>L$30</f>
        <v>1</v>
      </c>
      <c r="AL9" s="94">
        <f>L$14</f>
        <v>1</v>
      </c>
      <c r="AM9" s="38"/>
      <c r="AP9" s="14" t="s">
        <v>10</v>
      </c>
      <c r="AQ9" s="18" t="s">
        <v>5</v>
      </c>
      <c r="AR9" s="19" t="s">
        <v>6</v>
      </c>
      <c r="AS9" s="11" t="s">
        <v>7</v>
      </c>
      <c r="AU9" s="47">
        <v>0</v>
      </c>
      <c r="AV9" s="48">
        <v>0</v>
      </c>
      <c r="AW9" s="48">
        <v>0</v>
      </c>
      <c r="AX9" s="48">
        <v>1</v>
      </c>
      <c r="AY9" s="48">
        <v>1</v>
      </c>
      <c r="AZ9" s="47"/>
      <c r="BA9" s="49"/>
      <c r="BB9" s="63"/>
      <c r="BC9" s="63"/>
      <c r="BD9" s="63"/>
      <c r="BE9" s="63">
        <v>1</v>
      </c>
      <c r="BF9" s="63">
        <v>1</v>
      </c>
      <c r="BG9" s="63">
        <v>1</v>
      </c>
      <c r="BH9" s="63"/>
      <c r="BI9" s="51">
        <v>1</v>
      </c>
      <c r="BJ9" t="s">
        <v>35</v>
      </c>
    </row>
    <row r="10" spans="2:63" x14ac:dyDescent="0.25">
      <c r="B10" s="75">
        <v>2</v>
      </c>
      <c r="C10" s="75">
        <v>8</v>
      </c>
      <c r="D10" s="76">
        <v>7</v>
      </c>
      <c r="E10" s="76">
        <v>6</v>
      </c>
      <c r="F10" s="76">
        <v>5</v>
      </c>
      <c r="G10" s="79">
        <v>4</v>
      </c>
      <c r="H10" s="43">
        <v>23</v>
      </c>
      <c r="I10" s="43">
        <v>22</v>
      </c>
      <c r="J10" s="43">
        <v>21</v>
      </c>
      <c r="K10" s="43">
        <v>20</v>
      </c>
      <c r="L10" s="43">
        <v>19</v>
      </c>
      <c r="M10" s="43">
        <v>18</v>
      </c>
      <c r="N10" s="43">
        <v>17</v>
      </c>
      <c r="O10" s="43">
        <v>16</v>
      </c>
      <c r="P10" s="43">
        <v>15</v>
      </c>
      <c r="Q10" s="44">
        <v>14</v>
      </c>
      <c r="S10" s="320" t="s">
        <v>1</v>
      </c>
      <c r="T10" s="72">
        <f>Q$20</f>
        <v>0</v>
      </c>
      <c r="U10" s="71">
        <f>Q$36</f>
        <v>0</v>
      </c>
      <c r="V10" s="71">
        <f>Q$40</f>
        <v>0</v>
      </c>
      <c r="W10" s="73">
        <f>Q$24</f>
        <v>0</v>
      </c>
      <c r="X10" s="71">
        <f>Q$26</f>
        <v>0</v>
      </c>
      <c r="Y10" s="71">
        <f>Q$42</f>
        <v>0</v>
      </c>
      <c r="Z10" s="71">
        <f>Q$38</f>
        <v>0</v>
      </c>
      <c r="AA10" s="73">
        <f>Q$22</f>
        <v>0</v>
      </c>
      <c r="AB10" s="98"/>
      <c r="AC10" s="33"/>
      <c r="AD10" s="320" t="s">
        <v>1</v>
      </c>
      <c r="AE10" s="72">
        <f>L$20</f>
        <v>1</v>
      </c>
      <c r="AF10" s="71">
        <f>L$36</f>
        <v>1</v>
      </c>
      <c r="AG10" s="71">
        <f>L$40</f>
        <v>0</v>
      </c>
      <c r="AH10" s="73">
        <f>L$24</f>
        <v>0</v>
      </c>
      <c r="AI10" s="71">
        <f>L$26</f>
        <v>0</v>
      </c>
      <c r="AJ10" s="71">
        <f>L$42</f>
        <v>0</v>
      </c>
      <c r="AK10" s="71">
        <f>L$38</f>
        <v>1</v>
      </c>
      <c r="AL10" s="73">
        <f>L$22</f>
        <v>1</v>
      </c>
      <c r="AM10" s="39"/>
      <c r="AP10" s="14" t="s">
        <v>9</v>
      </c>
      <c r="AQ10" s="18" t="s">
        <v>5</v>
      </c>
      <c r="AR10" s="19" t="s">
        <v>12</v>
      </c>
      <c r="AS10" s="11" t="s">
        <v>7</v>
      </c>
      <c r="AU10" s="47">
        <v>0</v>
      </c>
      <c r="AV10" s="48">
        <v>0</v>
      </c>
      <c r="AW10" s="48">
        <v>1</v>
      </c>
      <c r="AX10" s="48">
        <v>0</v>
      </c>
      <c r="AY10" s="48">
        <v>0</v>
      </c>
      <c r="AZ10" s="47"/>
      <c r="BA10" s="49"/>
      <c r="BB10" s="63"/>
      <c r="BC10" s="63"/>
      <c r="BD10" s="63">
        <v>1</v>
      </c>
      <c r="BE10" s="63">
        <v>1</v>
      </c>
      <c r="BF10" s="63"/>
      <c r="BG10" s="63">
        <v>1</v>
      </c>
      <c r="BH10" s="63"/>
      <c r="BI10" s="51">
        <v>1</v>
      </c>
      <c r="BJ10" t="s">
        <v>36</v>
      </c>
    </row>
    <row r="11" spans="2:63" ht="15.75" thickBot="1" x14ac:dyDescent="0.3">
      <c r="B11" s="89" t="s">
        <v>71</v>
      </c>
      <c r="C11" s="89" t="s">
        <v>8</v>
      </c>
      <c r="D11" s="90" t="s">
        <v>1</v>
      </c>
      <c r="E11" s="90" t="s">
        <v>33</v>
      </c>
      <c r="F11" s="90" t="s">
        <v>0</v>
      </c>
      <c r="G11" s="91" t="s">
        <v>19</v>
      </c>
      <c r="H11" s="74" t="s">
        <v>31</v>
      </c>
      <c r="I11" s="74" t="s">
        <v>30</v>
      </c>
      <c r="J11" s="74" t="s">
        <v>29</v>
      </c>
      <c r="K11" s="74" t="s">
        <v>28</v>
      </c>
      <c r="L11" s="74" t="s">
        <v>27</v>
      </c>
      <c r="M11" s="74" t="s">
        <v>26</v>
      </c>
      <c r="N11" s="74" t="s">
        <v>25</v>
      </c>
      <c r="O11" s="74" t="s">
        <v>24</v>
      </c>
      <c r="P11" s="74" t="s">
        <v>23</v>
      </c>
      <c r="Q11" s="83" t="s">
        <v>22</v>
      </c>
      <c r="S11" s="320"/>
      <c r="T11" s="72">
        <f>Q$21</f>
        <v>0</v>
      </c>
      <c r="U11" s="71">
        <f>Q$37</f>
        <v>0</v>
      </c>
      <c r="V11" s="71">
        <f>Q$41</f>
        <v>0</v>
      </c>
      <c r="W11" s="73">
        <f>Q$25</f>
        <v>0</v>
      </c>
      <c r="X11" s="71">
        <f>Q$27</f>
        <v>0</v>
      </c>
      <c r="Y11" s="71">
        <f>Q$43</f>
        <v>0</v>
      </c>
      <c r="Z11" s="71">
        <f>Q$39</f>
        <v>0</v>
      </c>
      <c r="AA11" s="73">
        <f>Q$23</f>
        <v>0</v>
      </c>
      <c r="AB11" s="325" t="s">
        <v>19</v>
      </c>
      <c r="AC11" s="33"/>
      <c r="AD11" s="320"/>
      <c r="AE11" s="72">
        <f>L$21</f>
        <v>1</v>
      </c>
      <c r="AF11" s="71">
        <f>L$37</f>
        <v>1</v>
      </c>
      <c r="AG11" s="71">
        <f>L$41</f>
        <v>0</v>
      </c>
      <c r="AH11" s="73">
        <f>L$25</f>
        <v>0</v>
      </c>
      <c r="AI11" s="71">
        <f>L$27</f>
        <v>0</v>
      </c>
      <c r="AJ11" s="71">
        <f>L$43</f>
        <v>0</v>
      </c>
      <c r="AK11" s="71">
        <f>L$39</f>
        <v>1</v>
      </c>
      <c r="AL11" s="73">
        <f>L$23</f>
        <v>1</v>
      </c>
      <c r="AM11" s="319" t="s">
        <v>19</v>
      </c>
      <c r="AP11" s="15" t="s">
        <v>11</v>
      </c>
      <c r="AQ11" s="20" t="s">
        <v>32</v>
      </c>
      <c r="AR11" s="21" t="s">
        <v>15</v>
      </c>
      <c r="AS11" s="11" t="s">
        <v>13</v>
      </c>
      <c r="AU11" s="47">
        <v>0</v>
      </c>
      <c r="AV11" s="48">
        <v>0</v>
      </c>
      <c r="AW11" s="48">
        <v>1</v>
      </c>
      <c r="AX11" s="48">
        <v>0</v>
      </c>
      <c r="AY11" s="48">
        <v>1</v>
      </c>
      <c r="AZ11" s="47"/>
      <c r="BA11" s="49"/>
      <c r="BB11" s="63"/>
      <c r="BC11" s="63"/>
      <c r="BD11" s="63">
        <v>1</v>
      </c>
      <c r="BE11" s="63">
        <v>1</v>
      </c>
      <c r="BF11" s="63"/>
      <c r="BG11" s="63">
        <v>1</v>
      </c>
      <c r="BH11" s="63"/>
      <c r="BI11" s="51">
        <v>1</v>
      </c>
      <c r="BJ11" t="s">
        <v>36</v>
      </c>
    </row>
    <row r="12" spans="2:63" x14ac:dyDescent="0.25">
      <c r="B12" s="52"/>
      <c r="C12" s="52"/>
      <c r="D12" s="43"/>
      <c r="E12" s="43"/>
      <c r="F12" s="43"/>
      <c r="G12" s="44"/>
      <c r="H12" s="84"/>
      <c r="I12" s="43"/>
      <c r="J12" s="43">
        <v>1</v>
      </c>
      <c r="K12" s="43">
        <v>1</v>
      </c>
      <c r="L12" s="43">
        <v>1</v>
      </c>
      <c r="M12" s="43"/>
      <c r="N12" s="43"/>
      <c r="O12" s="43"/>
      <c r="P12" s="43"/>
      <c r="Q12" s="44"/>
      <c r="S12" s="36"/>
      <c r="T12" s="37">
        <f>Q$13</f>
        <v>0</v>
      </c>
      <c r="U12" s="34">
        <f>Q$29</f>
        <v>0</v>
      </c>
      <c r="V12" s="34">
        <f>Q$33</f>
        <v>0</v>
      </c>
      <c r="W12" s="96">
        <f>Q$17</f>
        <v>0</v>
      </c>
      <c r="X12" s="34">
        <f>Q$19</f>
        <v>1</v>
      </c>
      <c r="Y12" s="34">
        <f>Q$35</f>
        <v>1</v>
      </c>
      <c r="Z12" s="34">
        <f>Q$31</f>
        <v>1</v>
      </c>
      <c r="AA12" s="96">
        <f>Q$15</f>
        <v>1</v>
      </c>
      <c r="AB12" s="325"/>
      <c r="AC12" s="33"/>
      <c r="AD12" s="36"/>
      <c r="AE12" s="37">
        <f>L$13</f>
        <v>1</v>
      </c>
      <c r="AF12" s="34">
        <f>L$29</f>
        <v>1</v>
      </c>
      <c r="AG12" s="34">
        <f>L$33</f>
        <v>1</v>
      </c>
      <c r="AH12" s="96">
        <f>L$17</f>
        <v>1</v>
      </c>
      <c r="AI12" s="34">
        <f>L$19</f>
        <v>1</v>
      </c>
      <c r="AJ12" s="34">
        <f>L$35</f>
        <v>1</v>
      </c>
      <c r="AK12" s="34">
        <f>L$31</f>
        <v>1</v>
      </c>
      <c r="AL12" s="96">
        <f>L$15</f>
        <v>1</v>
      </c>
      <c r="AM12" s="319"/>
      <c r="AU12" s="47">
        <v>0</v>
      </c>
      <c r="AV12" s="48">
        <v>0</v>
      </c>
      <c r="AW12" s="48">
        <v>1</v>
      </c>
      <c r="AX12" s="48">
        <v>1</v>
      </c>
      <c r="AY12" s="48">
        <v>0</v>
      </c>
      <c r="AZ12" s="47"/>
      <c r="BA12" s="49"/>
      <c r="BB12" s="63"/>
      <c r="BC12" s="63"/>
      <c r="BD12" s="63"/>
      <c r="BE12" s="63">
        <v>1</v>
      </c>
      <c r="BF12" s="63">
        <v>1</v>
      </c>
      <c r="BG12" s="63">
        <v>1</v>
      </c>
      <c r="BH12" s="63"/>
      <c r="BI12" s="51"/>
      <c r="BJ12" t="s">
        <v>34</v>
      </c>
    </row>
    <row r="13" spans="2:63" x14ac:dyDescent="0.25">
      <c r="B13" s="47"/>
      <c r="C13" s="47"/>
      <c r="D13" s="48"/>
      <c r="E13" s="48"/>
      <c r="F13" s="48"/>
      <c r="G13" s="49">
        <v>1</v>
      </c>
      <c r="H13" s="85">
        <v>1</v>
      </c>
      <c r="I13" s="48"/>
      <c r="J13" s="48">
        <v>1</v>
      </c>
      <c r="K13" s="48">
        <v>1</v>
      </c>
      <c r="L13" s="48">
        <v>1</v>
      </c>
      <c r="M13" s="48"/>
      <c r="N13" s="48"/>
      <c r="O13" s="48"/>
      <c r="P13" s="48"/>
      <c r="Q13" s="49"/>
      <c r="S13" s="29"/>
      <c r="T13" s="31"/>
      <c r="U13" s="1"/>
      <c r="V13" s="326" t="s">
        <v>33</v>
      </c>
      <c r="W13" s="326"/>
      <c r="X13" s="326"/>
      <c r="Y13" s="326"/>
      <c r="Z13" s="1"/>
      <c r="AA13" s="31"/>
      <c r="AB13" s="30"/>
      <c r="AC13" s="33"/>
      <c r="AD13" s="29"/>
      <c r="AE13" s="31"/>
      <c r="AF13" s="1"/>
      <c r="AG13" s="326" t="s">
        <v>33</v>
      </c>
      <c r="AH13" s="326"/>
      <c r="AI13" s="326"/>
      <c r="AJ13" s="326"/>
      <c r="AK13" s="1"/>
      <c r="AL13" s="31"/>
      <c r="AM13" s="30"/>
      <c r="AP13" t="s">
        <v>17</v>
      </c>
      <c r="AU13" s="47">
        <v>0</v>
      </c>
      <c r="AV13" s="48">
        <v>0</v>
      </c>
      <c r="AW13" s="48">
        <v>1</v>
      </c>
      <c r="AX13" s="48">
        <v>1</v>
      </c>
      <c r="AY13" s="48">
        <v>1</v>
      </c>
      <c r="AZ13" s="47"/>
      <c r="BA13" s="49"/>
      <c r="BB13" s="63"/>
      <c r="BC13" s="63"/>
      <c r="BD13" s="63"/>
      <c r="BE13" s="63">
        <v>1</v>
      </c>
      <c r="BF13" s="63">
        <v>1</v>
      </c>
      <c r="BG13" s="63">
        <v>1</v>
      </c>
      <c r="BH13" s="63"/>
      <c r="BI13" s="51">
        <v>1</v>
      </c>
      <c r="BJ13" t="s">
        <v>35</v>
      </c>
    </row>
    <row r="14" spans="2:63" ht="15.75" thickBot="1" x14ac:dyDescent="0.3">
      <c r="B14" s="47"/>
      <c r="C14" s="47"/>
      <c r="D14" s="48"/>
      <c r="E14" s="48"/>
      <c r="F14" s="48">
        <v>1</v>
      </c>
      <c r="G14" s="49"/>
      <c r="H14" s="85"/>
      <c r="I14" s="48"/>
      <c r="J14" s="48">
        <v>1</v>
      </c>
      <c r="K14" s="48">
        <v>1</v>
      </c>
      <c r="L14" s="48">
        <v>1</v>
      </c>
      <c r="M14" s="48"/>
      <c r="N14" s="48"/>
      <c r="O14" s="48"/>
      <c r="P14" s="48"/>
      <c r="Q14" s="49">
        <v>1</v>
      </c>
      <c r="S14" s="37"/>
      <c r="T14" s="34"/>
      <c r="U14" s="35"/>
      <c r="V14" s="35"/>
      <c r="W14" s="34"/>
      <c r="X14" s="324" t="s">
        <v>0</v>
      </c>
      <c r="Y14" s="324"/>
      <c r="Z14" s="324"/>
      <c r="AA14" s="324"/>
      <c r="AB14" s="32"/>
      <c r="AC14" s="33"/>
      <c r="AD14" s="37"/>
      <c r="AE14" s="34"/>
      <c r="AF14" s="35"/>
      <c r="AG14" s="35"/>
      <c r="AH14" s="34"/>
      <c r="AI14" s="324" t="s">
        <v>0</v>
      </c>
      <c r="AJ14" s="324"/>
      <c r="AK14" s="324"/>
      <c r="AL14" s="324"/>
      <c r="AM14" s="32"/>
      <c r="AP14" s="8" t="s">
        <v>0</v>
      </c>
      <c r="AQ14" s="9" t="s">
        <v>1</v>
      </c>
      <c r="AR14" s="10" t="s">
        <v>10</v>
      </c>
      <c r="AS14" s="9" t="s">
        <v>9</v>
      </c>
      <c r="AU14" s="47">
        <v>0</v>
      </c>
      <c r="AV14" s="48">
        <v>1</v>
      </c>
      <c r="AW14" s="48">
        <v>0</v>
      </c>
      <c r="AX14" s="48">
        <v>0</v>
      </c>
      <c r="AY14" s="48">
        <v>0</v>
      </c>
      <c r="AZ14" s="47"/>
      <c r="BA14" s="49"/>
      <c r="BB14" s="63"/>
      <c r="BC14" s="63"/>
      <c r="BD14" s="63"/>
      <c r="BE14" s="63">
        <v>1</v>
      </c>
      <c r="BF14" s="63">
        <v>1</v>
      </c>
      <c r="BG14" s="63">
        <v>1</v>
      </c>
      <c r="BH14" s="63"/>
      <c r="BI14" s="51"/>
      <c r="BJ14" t="s">
        <v>34</v>
      </c>
    </row>
    <row r="15" spans="2:63" ht="15.75" thickTop="1" x14ac:dyDescent="0.25">
      <c r="B15" s="53"/>
      <c r="C15" s="53"/>
      <c r="D15" s="54"/>
      <c r="E15" s="54"/>
      <c r="F15" s="54">
        <v>1</v>
      </c>
      <c r="G15" s="55">
        <v>1</v>
      </c>
      <c r="H15" s="85">
        <v>1</v>
      </c>
      <c r="I15" s="48"/>
      <c r="J15" s="48">
        <v>1</v>
      </c>
      <c r="K15" s="48">
        <v>1</v>
      </c>
      <c r="L15" s="48">
        <v>1</v>
      </c>
      <c r="M15" s="48"/>
      <c r="N15" s="48"/>
      <c r="O15" s="48"/>
      <c r="P15" s="48"/>
      <c r="Q15" s="49">
        <v>1</v>
      </c>
      <c r="S15" s="25"/>
      <c r="T15" s="25"/>
      <c r="U15" s="25"/>
      <c r="V15" s="25"/>
      <c r="W15" s="42" t="s">
        <v>23</v>
      </c>
      <c r="X15" s="25"/>
      <c r="Y15" s="25"/>
      <c r="Z15" s="25"/>
      <c r="AA15" s="25"/>
      <c r="AB15" s="25"/>
      <c r="AC15" s="33"/>
      <c r="AD15" s="25"/>
      <c r="AE15" s="25"/>
      <c r="AF15" s="25"/>
      <c r="AG15" s="25"/>
      <c r="AH15" s="42" t="s">
        <v>28</v>
      </c>
      <c r="AI15" s="25"/>
      <c r="AJ15" s="25"/>
      <c r="AK15" s="25"/>
      <c r="AL15" s="25"/>
      <c r="AM15" s="25"/>
      <c r="AP15" s="3">
        <v>0</v>
      </c>
      <c r="AQ15" s="4">
        <v>0</v>
      </c>
      <c r="AR15" s="6" t="s">
        <v>0</v>
      </c>
      <c r="AS15" s="4" t="s">
        <v>8</v>
      </c>
      <c r="AU15" s="47">
        <v>0</v>
      </c>
      <c r="AV15" s="48">
        <v>1</v>
      </c>
      <c r="AW15" s="48">
        <v>0</v>
      </c>
      <c r="AX15" s="48">
        <v>0</v>
      </c>
      <c r="AY15" s="48">
        <v>1</v>
      </c>
      <c r="AZ15" s="47"/>
      <c r="BA15" s="49"/>
      <c r="BB15" s="63"/>
      <c r="BC15" s="63"/>
      <c r="BD15" s="63"/>
      <c r="BE15" s="63">
        <v>1</v>
      </c>
      <c r="BF15" s="63">
        <v>1</v>
      </c>
      <c r="BG15" s="63">
        <v>1</v>
      </c>
      <c r="BH15" s="63"/>
      <c r="BI15" s="51">
        <v>1</v>
      </c>
      <c r="BJ15" t="s">
        <v>35</v>
      </c>
    </row>
    <row r="16" spans="2:63" x14ac:dyDescent="0.25">
      <c r="B16" s="52"/>
      <c r="C16" s="52"/>
      <c r="D16" s="43"/>
      <c r="E16" s="43">
        <v>1</v>
      </c>
      <c r="F16" s="43"/>
      <c r="G16" s="44"/>
      <c r="H16" s="85">
        <v>1</v>
      </c>
      <c r="I16" s="48"/>
      <c r="J16" s="48">
        <v>1</v>
      </c>
      <c r="K16" s="48"/>
      <c r="L16" s="48">
        <v>1</v>
      </c>
      <c r="M16" s="48">
        <v>1</v>
      </c>
      <c r="N16" s="48"/>
      <c r="O16" s="48"/>
      <c r="P16" s="48"/>
      <c r="Q16" s="49"/>
      <c r="S16" s="26"/>
      <c r="T16" s="27"/>
      <c r="U16" s="323" t="s">
        <v>8</v>
      </c>
      <c r="V16" s="323"/>
      <c r="W16" s="41"/>
      <c r="X16" s="27"/>
      <c r="Y16" s="323" t="s">
        <v>8</v>
      </c>
      <c r="Z16" s="323"/>
      <c r="AA16" s="40"/>
      <c r="AB16" s="28"/>
      <c r="AC16" s="33"/>
      <c r="AD16" s="26"/>
      <c r="AE16" s="27"/>
      <c r="AF16" s="323" t="s">
        <v>8</v>
      </c>
      <c r="AG16" s="323"/>
      <c r="AH16" s="41"/>
      <c r="AI16" s="27"/>
      <c r="AJ16" s="323" t="s">
        <v>8</v>
      </c>
      <c r="AK16" s="323"/>
      <c r="AL16" s="40"/>
      <c r="AM16" s="28"/>
      <c r="AP16" s="2">
        <v>0</v>
      </c>
      <c r="AQ16" s="5">
        <v>1</v>
      </c>
      <c r="AR16" s="7" t="s">
        <v>0</v>
      </c>
      <c r="AS16" s="5" t="s">
        <v>8</v>
      </c>
      <c r="AU16" s="47">
        <v>0</v>
      </c>
      <c r="AV16" s="48">
        <v>1</v>
      </c>
      <c r="AW16" s="48">
        <v>0</v>
      </c>
      <c r="AX16" s="48">
        <v>1</v>
      </c>
      <c r="AY16" s="48">
        <v>0</v>
      </c>
      <c r="AZ16" s="47"/>
      <c r="BA16" s="49"/>
      <c r="BB16" s="63"/>
      <c r="BC16" s="63"/>
      <c r="BD16" s="63"/>
      <c r="BE16" s="63">
        <v>1</v>
      </c>
      <c r="BF16" s="63">
        <v>1</v>
      </c>
      <c r="BG16" s="63">
        <v>1</v>
      </c>
      <c r="BH16" s="63"/>
      <c r="BI16" s="51"/>
      <c r="BJ16" t="s">
        <v>34</v>
      </c>
    </row>
    <row r="17" spans="2:62" x14ac:dyDescent="0.25">
      <c r="B17" s="47"/>
      <c r="C17" s="47"/>
      <c r="D17" s="48"/>
      <c r="E17" s="48">
        <v>1</v>
      </c>
      <c r="F17" s="48"/>
      <c r="G17" s="49">
        <v>1</v>
      </c>
      <c r="H17" s="85">
        <v>1</v>
      </c>
      <c r="I17" s="48"/>
      <c r="J17" s="48">
        <v>1</v>
      </c>
      <c r="K17" s="48"/>
      <c r="L17" s="48">
        <v>1</v>
      </c>
      <c r="M17" s="48">
        <v>1</v>
      </c>
      <c r="N17" s="48"/>
      <c r="O17" s="48"/>
      <c r="P17" s="48"/>
      <c r="Q17" s="49"/>
      <c r="S17" s="29"/>
      <c r="T17" s="93">
        <f>P$12</f>
        <v>0</v>
      </c>
      <c r="U17" s="95">
        <f>P$28</f>
        <v>0</v>
      </c>
      <c r="V17" s="95">
        <f>P$32</f>
        <v>0</v>
      </c>
      <c r="W17" s="94">
        <f>P$16</f>
        <v>0</v>
      </c>
      <c r="X17" s="95">
        <f>P$18</f>
        <v>0</v>
      </c>
      <c r="Y17" s="95">
        <f>P$34</f>
        <v>0</v>
      </c>
      <c r="Z17" s="95">
        <f>P$30</f>
        <v>0</v>
      </c>
      <c r="AA17" s="94">
        <f>P$14</f>
        <v>0</v>
      </c>
      <c r="AB17" s="38"/>
      <c r="AC17" s="33"/>
      <c r="AD17" s="29"/>
      <c r="AE17" s="93">
        <f>K$12</f>
        <v>1</v>
      </c>
      <c r="AF17" s="95">
        <f>K$28</f>
        <v>0</v>
      </c>
      <c r="AG17" s="95">
        <f>K$32</f>
        <v>0</v>
      </c>
      <c r="AH17" s="94">
        <f>K$16</f>
        <v>0</v>
      </c>
      <c r="AI17" s="95">
        <f>K$18</f>
        <v>1</v>
      </c>
      <c r="AJ17" s="95">
        <f>K$34</f>
        <v>1</v>
      </c>
      <c r="AK17" s="95">
        <f>K$30</f>
        <v>1</v>
      </c>
      <c r="AL17" s="94">
        <f>K$14</f>
        <v>1</v>
      </c>
      <c r="AM17" s="38"/>
      <c r="AP17" s="2">
        <v>1</v>
      </c>
      <c r="AQ17" s="5">
        <v>0</v>
      </c>
      <c r="AR17" s="7" t="s">
        <v>0</v>
      </c>
      <c r="AS17" s="5" t="s">
        <v>8</v>
      </c>
      <c r="AU17" s="47">
        <v>0</v>
      </c>
      <c r="AV17" s="48">
        <v>1</v>
      </c>
      <c r="AW17" s="48">
        <v>0</v>
      </c>
      <c r="AX17" s="48">
        <v>1</v>
      </c>
      <c r="AY17" s="48">
        <v>1</v>
      </c>
      <c r="AZ17" s="47"/>
      <c r="BA17" s="49"/>
      <c r="BB17" s="63"/>
      <c r="BC17" s="63"/>
      <c r="BD17" s="63"/>
      <c r="BE17" s="63">
        <v>1</v>
      </c>
      <c r="BF17" s="63">
        <v>1</v>
      </c>
      <c r="BG17" s="63">
        <v>1</v>
      </c>
      <c r="BH17" s="63"/>
      <c r="BI17" s="51">
        <v>1</v>
      </c>
      <c r="BJ17" t="s">
        <v>35</v>
      </c>
    </row>
    <row r="18" spans="2:62" x14ac:dyDescent="0.25">
      <c r="B18" s="47"/>
      <c r="C18" s="47"/>
      <c r="D18" s="48"/>
      <c r="E18" s="48">
        <v>1</v>
      </c>
      <c r="F18" s="48">
        <v>1</v>
      </c>
      <c r="G18" s="49"/>
      <c r="H18" s="85"/>
      <c r="I18" s="48"/>
      <c r="J18" s="48">
        <v>1</v>
      </c>
      <c r="K18" s="48">
        <v>1</v>
      </c>
      <c r="L18" s="48">
        <v>1</v>
      </c>
      <c r="M18" s="48"/>
      <c r="N18" s="48"/>
      <c r="O18" s="48"/>
      <c r="P18" s="48"/>
      <c r="Q18" s="49">
        <v>1</v>
      </c>
      <c r="S18" s="320" t="s">
        <v>1</v>
      </c>
      <c r="T18" s="72">
        <f>P$20</f>
        <v>0</v>
      </c>
      <c r="U18" s="71">
        <f>P$36</f>
        <v>0</v>
      </c>
      <c r="V18" s="71">
        <f>P$40</f>
        <v>0</v>
      </c>
      <c r="W18" s="73">
        <f>P$24</f>
        <v>0</v>
      </c>
      <c r="X18" s="71">
        <f>P$26</f>
        <v>0</v>
      </c>
      <c r="Y18" s="71">
        <f>P$42</f>
        <v>0</v>
      </c>
      <c r="Z18" s="71">
        <f>P$38</f>
        <v>0</v>
      </c>
      <c r="AA18" s="73">
        <f>P$22</f>
        <v>0</v>
      </c>
      <c r="AB18" s="39"/>
      <c r="AC18" s="33"/>
      <c r="AD18" s="320" t="s">
        <v>1</v>
      </c>
      <c r="AE18" s="72">
        <f>K$20</f>
        <v>1</v>
      </c>
      <c r="AF18" s="71">
        <f>K$36</f>
        <v>1</v>
      </c>
      <c r="AG18" s="71">
        <f>K$40</f>
        <v>1</v>
      </c>
      <c r="AH18" s="73">
        <f>K$24</f>
        <v>1</v>
      </c>
      <c r="AI18" s="71">
        <f>K$26</f>
        <v>1</v>
      </c>
      <c r="AJ18" s="71">
        <f>K$42</f>
        <v>1</v>
      </c>
      <c r="AK18" s="71">
        <f>K$38</f>
        <v>1</v>
      </c>
      <c r="AL18" s="73">
        <f>K$22</f>
        <v>1</v>
      </c>
      <c r="AM18" s="39"/>
      <c r="AP18" s="2">
        <v>1</v>
      </c>
      <c r="AQ18" s="5">
        <v>1</v>
      </c>
      <c r="AR18" s="7">
        <v>0</v>
      </c>
      <c r="AS18" s="22" t="s">
        <v>44</v>
      </c>
      <c r="AU18" s="47">
        <v>0</v>
      </c>
      <c r="AV18" s="48">
        <v>1</v>
      </c>
      <c r="AW18" s="48">
        <v>1</v>
      </c>
      <c r="AX18" s="48">
        <v>0</v>
      </c>
      <c r="AY18" s="48">
        <v>0</v>
      </c>
      <c r="AZ18" s="47"/>
      <c r="BA18" s="49"/>
      <c r="BB18" s="63"/>
      <c r="BC18" s="63"/>
      <c r="BD18" s="63"/>
      <c r="BE18" s="63"/>
      <c r="BF18" s="63">
        <v>1</v>
      </c>
      <c r="BG18" s="63">
        <v>1</v>
      </c>
      <c r="BH18" s="63"/>
      <c r="BI18" s="51">
        <v>1</v>
      </c>
      <c r="BJ18" t="s">
        <v>37</v>
      </c>
    </row>
    <row r="19" spans="2:62" x14ac:dyDescent="0.25">
      <c r="B19" s="53"/>
      <c r="C19" s="53"/>
      <c r="D19" s="54"/>
      <c r="E19" s="54">
        <v>1</v>
      </c>
      <c r="F19" s="54">
        <v>1</v>
      </c>
      <c r="G19" s="55">
        <v>1</v>
      </c>
      <c r="H19" s="85">
        <v>1</v>
      </c>
      <c r="I19" s="48"/>
      <c r="J19" s="48">
        <v>1</v>
      </c>
      <c r="K19" s="48">
        <v>1</v>
      </c>
      <c r="L19" s="48">
        <v>1</v>
      </c>
      <c r="M19" s="48"/>
      <c r="N19" s="48"/>
      <c r="O19" s="48"/>
      <c r="P19" s="48"/>
      <c r="Q19" s="49">
        <v>1</v>
      </c>
      <c r="S19" s="320"/>
      <c r="T19" s="72">
        <f>P$21</f>
        <v>0</v>
      </c>
      <c r="U19" s="71">
        <f>P$37</f>
        <v>0</v>
      </c>
      <c r="V19" s="71">
        <f>P$41</f>
        <v>0</v>
      </c>
      <c r="W19" s="73">
        <f>P$25</f>
        <v>1</v>
      </c>
      <c r="X19" s="71">
        <f>P$27</f>
        <v>0</v>
      </c>
      <c r="Y19" s="71">
        <f>P$43</f>
        <v>0</v>
      </c>
      <c r="Z19" s="71">
        <f>P$39</f>
        <v>0</v>
      </c>
      <c r="AA19" s="73">
        <f>P$23</f>
        <v>0</v>
      </c>
      <c r="AB19" s="319" t="s">
        <v>19</v>
      </c>
      <c r="AC19" s="33"/>
      <c r="AD19" s="320"/>
      <c r="AE19" s="72">
        <f>K$21</f>
        <v>1</v>
      </c>
      <c r="AF19" s="71">
        <f>K$37</f>
        <v>1</v>
      </c>
      <c r="AG19" s="71">
        <f>K$41</f>
        <v>1</v>
      </c>
      <c r="AH19" s="73">
        <f>K$25</f>
        <v>1</v>
      </c>
      <c r="AI19" s="71">
        <f>K$27</f>
        <v>1</v>
      </c>
      <c r="AJ19" s="71">
        <f>K$43</f>
        <v>1</v>
      </c>
      <c r="AK19" s="71">
        <f>K$39</f>
        <v>1</v>
      </c>
      <c r="AL19" s="73">
        <f>K$23</f>
        <v>1</v>
      </c>
      <c r="AM19" s="319" t="s">
        <v>19</v>
      </c>
      <c r="AU19" s="47">
        <v>0</v>
      </c>
      <c r="AV19" s="48">
        <v>1</v>
      </c>
      <c r="AW19" s="48">
        <v>1</v>
      </c>
      <c r="AX19" s="48">
        <v>0</v>
      </c>
      <c r="AY19" s="48">
        <v>1</v>
      </c>
      <c r="AZ19" s="47"/>
      <c r="BA19" s="49"/>
      <c r="BB19" s="63">
        <v>1</v>
      </c>
      <c r="BC19" s="63"/>
      <c r="BD19" s="63"/>
      <c r="BE19" s="63"/>
      <c r="BF19" s="63">
        <v>1</v>
      </c>
      <c r="BG19" s="63">
        <v>1</v>
      </c>
      <c r="BH19" s="63"/>
      <c r="BI19" s="51">
        <v>1</v>
      </c>
      <c r="BJ19" t="s">
        <v>38</v>
      </c>
    </row>
    <row r="20" spans="2:62" x14ac:dyDescent="0.25">
      <c r="B20" s="52"/>
      <c r="C20" s="52"/>
      <c r="D20" s="92">
        <v>1</v>
      </c>
      <c r="E20" s="43"/>
      <c r="F20" s="43"/>
      <c r="G20" s="44"/>
      <c r="H20" s="85"/>
      <c r="I20" s="48"/>
      <c r="J20" s="48">
        <v>1</v>
      </c>
      <c r="K20" s="48">
        <v>1</v>
      </c>
      <c r="L20" s="48">
        <v>1</v>
      </c>
      <c r="M20" s="48"/>
      <c r="N20" s="48"/>
      <c r="O20" s="48"/>
      <c r="P20" s="48"/>
      <c r="Q20" s="49"/>
      <c r="S20" s="36"/>
      <c r="T20" s="37">
        <f>P$13</f>
        <v>0</v>
      </c>
      <c r="U20" s="34">
        <f>P$29</f>
        <v>0</v>
      </c>
      <c r="V20" s="34">
        <f>P$33</f>
        <v>0</v>
      </c>
      <c r="W20" s="96">
        <f>P$17</f>
        <v>0</v>
      </c>
      <c r="X20" s="34">
        <f>P$19</f>
        <v>0</v>
      </c>
      <c r="Y20" s="34">
        <f>P$35</f>
        <v>0</v>
      </c>
      <c r="Z20" s="34">
        <f>P$31</f>
        <v>0</v>
      </c>
      <c r="AA20" s="96">
        <f>P$15</f>
        <v>0</v>
      </c>
      <c r="AB20" s="319"/>
      <c r="AC20" s="33"/>
      <c r="AD20" s="36"/>
      <c r="AE20" s="37">
        <f>K$13</f>
        <v>1</v>
      </c>
      <c r="AF20" s="34">
        <f>K$29</f>
        <v>1</v>
      </c>
      <c r="AG20" s="34">
        <f>K$33</f>
        <v>0</v>
      </c>
      <c r="AH20" s="96">
        <f>K$17</f>
        <v>0</v>
      </c>
      <c r="AI20" s="34">
        <f>K$19</f>
        <v>1</v>
      </c>
      <c r="AJ20" s="34">
        <f>K$35</f>
        <v>1</v>
      </c>
      <c r="AK20" s="34">
        <f>K$31</f>
        <v>1</v>
      </c>
      <c r="AL20" s="96">
        <f>K$15</f>
        <v>1</v>
      </c>
      <c r="AM20" s="319"/>
      <c r="AP20" t="s">
        <v>20</v>
      </c>
      <c r="AU20" s="47">
        <v>0</v>
      </c>
      <c r="AV20" s="48">
        <v>1</v>
      </c>
      <c r="AW20" s="48">
        <v>1</v>
      </c>
      <c r="AX20" s="48">
        <v>1</v>
      </c>
      <c r="AY20" s="48">
        <v>0</v>
      </c>
      <c r="AZ20" s="47"/>
      <c r="BA20" s="49"/>
      <c r="BB20" s="63"/>
      <c r="BC20" s="63"/>
      <c r="BD20" s="63">
        <v>1</v>
      </c>
      <c r="BE20" s="63"/>
      <c r="BF20" s="63">
        <v>1</v>
      </c>
      <c r="BG20" s="63">
        <v>1</v>
      </c>
      <c r="BH20" s="63"/>
      <c r="BI20" s="51"/>
      <c r="BJ20" t="s">
        <v>39</v>
      </c>
    </row>
    <row r="21" spans="2:62" x14ac:dyDescent="0.25">
      <c r="B21" s="47"/>
      <c r="C21" s="47"/>
      <c r="D21" s="69">
        <v>1</v>
      </c>
      <c r="E21" s="48"/>
      <c r="F21" s="48"/>
      <c r="G21" s="49">
        <v>1</v>
      </c>
      <c r="H21" s="85">
        <v>1</v>
      </c>
      <c r="I21" s="48"/>
      <c r="J21" s="48">
        <v>1</v>
      </c>
      <c r="K21" s="48">
        <v>1</v>
      </c>
      <c r="L21" s="48">
        <v>1</v>
      </c>
      <c r="M21" s="48"/>
      <c r="N21" s="48"/>
      <c r="O21" s="48"/>
      <c r="P21" s="48"/>
      <c r="Q21" s="49"/>
      <c r="S21" s="29"/>
      <c r="T21" s="31"/>
      <c r="U21" s="1"/>
      <c r="V21" s="326" t="s">
        <v>33</v>
      </c>
      <c r="W21" s="326"/>
      <c r="X21" s="326"/>
      <c r="Y21" s="326"/>
      <c r="Z21" s="1"/>
      <c r="AA21" s="31"/>
      <c r="AB21" s="30"/>
      <c r="AC21" s="33"/>
      <c r="AD21" s="29"/>
      <c r="AE21" s="31"/>
      <c r="AF21" s="1"/>
      <c r="AG21" s="326" t="s">
        <v>33</v>
      </c>
      <c r="AH21" s="326"/>
      <c r="AI21" s="326"/>
      <c r="AJ21" s="326"/>
      <c r="AK21" s="1"/>
      <c r="AL21" s="31"/>
      <c r="AM21" s="30"/>
      <c r="AO21" t="s">
        <v>75</v>
      </c>
      <c r="AU21" s="53">
        <v>0</v>
      </c>
      <c r="AV21" s="54">
        <v>1</v>
      </c>
      <c r="AW21" s="54">
        <v>1</v>
      </c>
      <c r="AX21" s="54">
        <v>1</v>
      </c>
      <c r="AY21" s="54">
        <v>1</v>
      </c>
      <c r="AZ21" s="53"/>
      <c r="BA21" s="55"/>
      <c r="BB21" s="64"/>
      <c r="BC21" s="64"/>
      <c r="BD21" s="64">
        <v>1</v>
      </c>
      <c r="BE21" s="64"/>
      <c r="BF21" s="64">
        <v>1</v>
      </c>
      <c r="BG21" s="64">
        <v>1</v>
      </c>
      <c r="BH21" s="64"/>
      <c r="BI21" s="65">
        <v>1</v>
      </c>
      <c r="BJ21" t="s">
        <v>40</v>
      </c>
    </row>
    <row r="22" spans="2:62" x14ac:dyDescent="0.25">
      <c r="B22" s="52"/>
      <c r="C22" s="52"/>
      <c r="D22" s="92">
        <v>1</v>
      </c>
      <c r="E22" s="43"/>
      <c r="F22" s="92">
        <v>1</v>
      </c>
      <c r="G22" s="44"/>
      <c r="H22" s="87"/>
      <c r="I22" s="43"/>
      <c r="J22" s="43">
        <v>1</v>
      </c>
      <c r="K22" s="43">
        <v>1</v>
      </c>
      <c r="L22" s="43">
        <v>1</v>
      </c>
      <c r="M22" s="43"/>
      <c r="N22" s="43"/>
      <c r="O22" s="78">
        <v>1</v>
      </c>
      <c r="P22" s="43"/>
      <c r="Q22" s="77"/>
      <c r="S22" s="37"/>
      <c r="T22" s="34"/>
      <c r="U22" s="35"/>
      <c r="V22" s="35"/>
      <c r="W22" s="34"/>
      <c r="X22" s="324" t="s">
        <v>0</v>
      </c>
      <c r="Y22" s="324"/>
      <c r="Z22" s="324"/>
      <c r="AA22" s="324"/>
      <c r="AB22" s="32"/>
      <c r="AC22" s="33"/>
      <c r="AD22" s="37"/>
      <c r="AE22" s="34"/>
      <c r="AF22" s="35"/>
      <c r="AG22" s="35"/>
      <c r="AH22" s="34"/>
      <c r="AI22" s="324" t="s">
        <v>0</v>
      </c>
      <c r="AJ22" s="324"/>
      <c r="AK22" s="324"/>
      <c r="AL22" s="324"/>
      <c r="AM22" s="32"/>
      <c r="AO22" t="s">
        <v>65</v>
      </c>
      <c r="AU22" s="52">
        <v>1</v>
      </c>
      <c r="AV22" s="43">
        <v>0</v>
      </c>
      <c r="AW22" s="43">
        <v>0</v>
      </c>
      <c r="AX22" s="43">
        <v>0</v>
      </c>
      <c r="AY22" s="43">
        <v>0</v>
      </c>
      <c r="AZ22" s="47"/>
      <c r="BA22" s="49"/>
      <c r="BB22" s="63"/>
      <c r="BC22" s="63"/>
      <c r="BD22" s="63">
        <v>1</v>
      </c>
      <c r="BE22" s="63">
        <v>1</v>
      </c>
      <c r="BF22" s="63"/>
      <c r="BG22" s="63">
        <v>1</v>
      </c>
      <c r="BH22" s="63"/>
      <c r="BI22" s="51"/>
      <c r="BJ22" t="s">
        <v>41</v>
      </c>
    </row>
    <row r="23" spans="2:62" x14ac:dyDescent="0.25">
      <c r="B23" s="53"/>
      <c r="C23" s="53"/>
      <c r="D23" s="70">
        <v>1</v>
      </c>
      <c r="E23" s="54"/>
      <c r="F23" s="70">
        <v>1</v>
      </c>
      <c r="G23" s="55">
        <v>1</v>
      </c>
      <c r="H23" s="88">
        <v>1</v>
      </c>
      <c r="I23" s="54"/>
      <c r="J23" s="54">
        <v>1</v>
      </c>
      <c r="K23" s="54">
        <v>1</v>
      </c>
      <c r="L23" s="54">
        <v>1</v>
      </c>
      <c r="M23" s="54"/>
      <c r="N23" s="54"/>
      <c r="O23" s="86">
        <v>0</v>
      </c>
      <c r="P23" s="54"/>
      <c r="Q23" s="97"/>
      <c r="S23" s="25"/>
      <c r="T23" s="25"/>
      <c r="U23" s="25"/>
      <c r="V23" s="25"/>
      <c r="W23" s="42" t="s">
        <v>24</v>
      </c>
      <c r="X23" s="25"/>
      <c r="Y23" s="25"/>
      <c r="Z23" s="25"/>
      <c r="AA23" s="25"/>
      <c r="AB23" s="25"/>
      <c r="AC23" s="33"/>
      <c r="AD23" s="25"/>
      <c r="AE23" s="25"/>
      <c r="AF23" s="25"/>
      <c r="AG23" s="25"/>
      <c r="AH23" s="42" t="s">
        <v>29</v>
      </c>
      <c r="AI23" s="25"/>
      <c r="AJ23" s="25"/>
      <c r="AK23" s="25"/>
      <c r="AL23" s="25"/>
      <c r="AM23" s="25"/>
      <c r="AO23" s="24" t="s">
        <v>76</v>
      </c>
      <c r="AU23" s="47">
        <v>1</v>
      </c>
      <c r="AV23" s="48">
        <v>0</v>
      </c>
      <c r="AW23" s="48">
        <v>0</v>
      </c>
      <c r="AX23" s="48">
        <v>0</v>
      </c>
      <c r="AY23" s="48">
        <v>1</v>
      </c>
      <c r="AZ23" s="47"/>
      <c r="BA23" s="49"/>
      <c r="BB23" s="63"/>
      <c r="BC23" s="63"/>
      <c r="BD23" s="63"/>
      <c r="BE23" s="63">
        <v>1</v>
      </c>
      <c r="BF23" s="63">
        <v>1</v>
      </c>
      <c r="BG23" s="63">
        <v>1</v>
      </c>
      <c r="BH23" s="63"/>
      <c r="BI23" s="51">
        <v>1</v>
      </c>
      <c r="BJ23" t="s">
        <v>35</v>
      </c>
    </row>
    <row r="24" spans="2:62" x14ac:dyDescent="0.25">
      <c r="B24" s="47"/>
      <c r="C24" s="47"/>
      <c r="D24" s="69">
        <v>1</v>
      </c>
      <c r="E24" s="48">
        <v>1</v>
      </c>
      <c r="F24" s="48"/>
      <c r="G24" s="49"/>
      <c r="H24" s="85">
        <v>1</v>
      </c>
      <c r="I24" s="48"/>
      <c r="J24" s="48">
        <v>1</v>
      </c>
      <c r="K24" s="48">
        <v>1</v>
      </c>
      <c r="L24" s="48"/>
      <c r="M24" s="48"/>
      <c r="N24" s="48"/>
      <c r="O24" s="48"/>
      <c r="P24" s="48"/>
      <c r="Q24" s="49"/>
      <c r="S24" s="26"/>
      <c r="T24" s="27"/>
      <c r="U24" s="323" t="s">
        <v>8</v>
      </c>
      <c r="V24" s="323"/>
      <c r="W24" s="41"/>
      <c r="X24" s="27"/>
      <c r="Y24" s="323" t="s">
        <v>8</v>
      </c>
      <c r="Z24" s="323"/>
      <c r="AA24" s="40"/>
      <c r="AB24" s="28"/>
      <c r="AC24" s="33"/>
      <c r="AD24" s="26"/>
      <c r="AE24" s="27"/>
      <c r="AF24" s="323" t="s">
        <v>8</v>
      </c>
      <c r="AG24" s="323"/>
      <c r="AH24" s="41"/>
      <c r="AI24" s="27"/>
      <c r="AJ24" s="323" t="s">
        <v>8</v>
      </c>
      <c r="AK24" s="323"/>
      <c r="AL24" s="40"/>
      <c r="AM24" s="28"/>
      <c r="AO24" t="s">
        <v>66</v>
      </c>
      <c r="AU24" s="47">
        <v>1</v>
      </c>
      <c r="AV24" s="48">
        <v>0</v>
      </c>
      <c r="AW24" s="48">
        <v>0</v>
      </c>
      <c r="AX24" s="48">
        <v>1</v>
      </c>
      <c r="AY24" s="48">
        <v>0</v>
      </c>
      <c r="AZ24" s="47"/>
      <c r="BA24" s="49"/>
      <c r="BB24" s="63"/>
      <c r="BC24" s="63"/>
      <c r="BD24" s="63"/>
      <c r="BE24" s="63">
        <v>1</v>
      </c>
      <c r="BF24" s="63">
        <v>1</v>
      </c>
      <c r="BG24" s="63">
        <v>1</v>
      </c>
      <c r="BH24" s="63"/>
      <c r="BI24" s="51"/>
      <c r="BJ24" t="s">
        <v>34</v>
      </c>
    </row>
    <row r="25" spans="2:62" x14ac:dyDescent="0.25">
      <c r="B25" s="47"/>
      <c r="C25" s="47"/>
      <c r="D25" s="69">
        <v>1</v>
      </c>
      <c r="E25" s="48">
        <v>1</v>
      </c>
      <c r="F25" s="48"/>
      <c r="G25" s="49">
        <v>1</v>
      </c>
      <c r="H25" s="85">
        <v>1</v>
      </c>
      <c r="I25" s="48"/>
      <c r="J25" s="48">
        <v>1</v>
      </c>
      <c r="K25" s="48">
        <v>1</v>
      </c>
      <c r="L25" s="48"/>
      <c r="M25" s="48"/>
      <c r="N25" s="48"/>
      <c r="O25" s="48"/>
      <c r="P25" s="48">
        <v>1</v>
      </c>
      <c r="Q25" s="49"/>
      <c r="S25" s="29"/>
      <c r="T25" s="93">
        <f>O$12</f>
        <v>0</v>
      </c>
      <c r="U25" s="95">
        <f>O$28</f>
        <v>1</v>
      </c>
      <c r="V25" s="95">
        <f>O$32</f>
        <v>1</v>
      </c>
      <c r="W25" s="94">
        <f>O$16</f>
        <v>0</v>
      </c>
      <c r="X25" s="95">
        <f>O$18</f>
        <v>0</v>
      </c>
      <c r="Y25" s="95">
        <f>O$34</f>
        <v>1</v>
      </c>
      <c r="Z25" s="95">
        <f>O$30</f>
        <v>1</v>
      </c>
      <c r="AA25" s="94">
        <f>O$14</f>
        <v>0</v>
      </c>
      <c r="AB25" s="38"/>
      <c r="AC25" s="33"/>
      <c r="AD25" s="29"/>
      <c r="AE25" s="93">
        <f>J$12</f>
        <v>1</v>
      </c>
      <c r="AF25" s="95">
        <f>J$28</f>
        <v>1</v>
      </c>
      <c r="AG25" s="95">
        <f>J$32</f>
        <v>1</v>
      </c>
      <c r="AH25" s="94">
        <f>J$16</f>
        <v>1</v>
      </c>
      <c r="AI25" s="95">
        <f>J$18</f>
        <v>1</v>
      </c>
      <c r="AJ25" s="95">
        <f>J$34</f>
        <v>1</v>
      </c>
      <c r="AK25" s="95">
        <f>J$30</f>
        <v>1</v>
      </c>
      <c r="AL25" s="94">
        <f>J$14</f>
        <v>1</v>
      </c>
      <c r="AM25" s="38"/>
      <c r="AO25" t="s">
        <v>82</v>
      </c>
      <c r="AU25" s="47">
        <v>1</v>
      </c>
      <c r="AV25" s="48">
        <v>0</v>
      </c>
      <c r="AW25" s="48">
        <v>0</v>
      </c>
      <c r="AX25" s="48">
        <v>1</v>
      </c>
      <c r="AY25" s="48">
        <v>1</v>
      </c>
      <c r="AZ25" s="47"/>
      <c r="BA25" s="49"/>
      <c r="BB25" s="63"/>
      <c r="BC25" s="63"/>
      <c r="BD25" s="63"/>
      <c r="BE25" s="63">
        <v>1</v>
      </c>
      <c r="BF25" s="63">
        <v>1</v>
      </c>
      <c r="BG25" s="63">
        <v>1</v>
      </c>
      <c r="BH25" s="63"/>
      <c r="BI25" s="51">
        <v>1</v>
      </c>
      <c r="BJ25" t="s">
        <v>35</v>
      </c>
    </row>
    <row r="26" spans="2:62" x14ac:dyDescent="0.25">
      <c r="B26" s="52"/>
      <c r="C26" s="52"/>
      <c r="D26" s="92">
        <v>1</v>
      </c>
      <c r="E26" s="43">
        <v>1</v>
      </c>
      <c r="F26" s="92">
        <v>1</v>
      </c>
      <c r="G26" s="44"/>
      <c r="H26" s="87"/>
      <c r="I26" s="43"/>
      <c r="J26" s="43">
        <v>1</v>
      </c>
      <c r="K26" s="43">
        <v>1</v>
      </c>
      <c r="L26" s="43"/>
      <c r="M26" s="43">
        <v>1</v>
      </c>
      <c r="N26" s="43"/>
      <c r="O26" s="78">
        <v>1</v>
      </c>
      <c r="P26" s="43"/>
      <c r="Q26" s="77"/>
      <c r="S26" s="320" t="s">
        <v>1</v>
      </c>
      <c r="T26" s="72">
        <f>O$20</f>
        <v>0</v>
      </c>
      <c r="U26" s="71">
        <f>O$36</f>
        <v>1</v>
      </c>
      <c r="V26" s="71">
        <f>O$40</f>
        <v>1</v>
      </c>
      <c r="W26" s="73">
        <f>O$24</f>
        <v>0</v>
      </c>
      <c r="X26" s="99">
        <f>O$26</f>
        <v>1</v>
      </c>
      <c r="Y26" s="100">
        <f>O$42</f>
        <v>1</v>
      </c>
      <c r="Z26" s="100">
        <f>O$38</f>
        <v>1</v>
      </c>
      <c r="AA26" s="101">
        <f>O$22</f>
        <v>1</v>
      </c>
      <c r="AB26" s="39"/>
      <c r="AC26" s="33"/>
      <c r="AD26" s="320" t="s">
        <v>1</v>
      </c>
      <c r="AE26" s="72">
        <f>J$20</f>
        <v>1</v>
      </c>
      <c r="AF26" s="71">
        <f>J$36</f>
        <v>1</v>
      </c>
      <c r="AG26" s="71">
        <f>J$40</f>
        <v>0</v>
      </c>
      <c r="AH26" s="73">
        <f>J$24</f>
        <v>1</v>
      </c>
      <c r="AI26" s="71">
        <f>J$26</f>
        <v>1</v>
      </c>
      <c r="AJ26" s="71">
        <f>J$42</f>
        <v>1</v>
      </c>
      <c r="AK26" s="71">
        <f>J$38</f>
        <v>1</v>
      </c>
      <c r="AL26" s="73">
        <f>J$22</f>
        <v>1</v>
      </c>
      <c r="AM26" s="39"/>
      <c r="AO26" t="s">
        <v>72</v>
      </c>
      <c r="AU26" s="47">
        <v>1</v>
      </c>
      <c r="AV26" s="48">
        <v>0</v>
      </c>
      <c r="AW26" s="48">
        <v>1</v>
      </c>
      <c r="AX26" s="48">
        <v>0</v>
      </c>
      <c r="AY26" s="48">
        <v>0</v>
      </c>
      <c r="AZ26" s="47"/>
      <c r="BA26" s="49"/>
      <c r="BB26" s="63"/>
      <c r="BC26" s="63"/>
      <c r="BD26" s="63">
        <v>1</v>
      </c>
      <c r="BE26" s="63">
        <v>1</v>
      </c>
      <c r="BF26" s="63"/>
      <c r="BG26" s="63">
        <v>1</v>
      </c>
      <c r="BH26" s="63"/>
      <c r="BI26" s="51"/>
      <c r="BJ26" t="s">
        <v>41</v>
      </c>
    </row>
    <row r="27" spans="2:62" x14ac:dyDescent="0.25">
      <c r="B27" s="53"/>
      <c r="C27" s="53"/>
      <c r="D27" s="70">
        <v>1</v>
      </c>
      <c r="E27" s="54">
        <v>1</v>
      </c>
      <c r="F27" s="70">
        <v>1</v>
      </c>
      <c r="G27" s="55">
        <v>1</v>
      </c>
      <c r="H27" s="88">
        <v>1</v>
      </c>
      <c r="I27" s="54"/>
      <c r="J27" s="54">
        <v>1</v>
      </c>
      <c r="K27" s="54">
        <v>1</v>
      </c>
      <c r="L27" s="54"/>
      <c r="M27" s="54">
        <v>1</v>
      </c>
      <c r="N27" s="54"/>
      <c r="O27" s="86">
        <v>0</v>
      </c>
      <c r="P27" s="54"/>
      <c r="Q27" s="97"/>
      <c r="S27" s="320"/>
      <c r="T27" s="72">
        <f>O$21</f>
        <v>0</v>
      </c>
      <c r="U27" s="71">
        <f>O$37</f>
        <v>1</v>
      </c>
      <c r="V27" s="71">
        <f>O$41</f>
        <v>1</v>
      </c>
      <c r="W27" s="73">
        <f>O$25</f>
        <v>0</v>
      </c>
      <c r="X27" s="71">
        <f>O$27</f>
        <v>0</v>
      </c>
      <c r="Y27" s="71">
        <f>O$43</f>
        <v>0</v>
      </c>
      <c r="Z27" s="71">
        <f>O$39</f>
        <v>0</v>
      </c>
      <c r="AA27" s="73">
        <f>O$23</f>
        <v>0</v>
      </c>
      <c r="AB27" s="319" t="s">
        <v>19</v>
      </c>
      <c r="AC27" s="33"/>
      <c r="AD27" s="320"/>
      <c r="AE27" s="72">
        <f>J$21</f>
        <v>1</v>
      </c>
      <c r="AF27" s="71">
        <f>J$37</f>
        <v>1</v>
      </c>
      <c r="AG27" s="71">
        <f>J$41</f>
        <v>0</v>
      </c>
      <c r="AH27" s="73">
        <f>J$25</f>
        <v>1</v>
      </c>
      <c r="AI27" s="71">
        <f>J$27</f>
        <v>1</v>
      </c>
      <c r="AJ27" s="71">
        <f>J$43</f>
        <v>1</v>
      </c>
      <c r="AK27" s="71">
        <f>J$39</f>
        <v>1</v>
      </c>
      <c r="AL27" s="73">
        <f>J$23</f>
        <v>1</v>
      </c>
      <c r="AM27" s="319" t="s">
        <v>19</v>
      </c>
      <c r="AO27" t="s">
        <v>73</v>
      </c>
      <c r="AU27" s="47">
        <v>1</v>
      </c>
      <c r="AV27" s="48">
        <v>0</v>
      </c>
      <c r="AW27" s="48">
        <v>1</v>
      </c>
      <c r="AX27" s="48">
        <v>0</v>
      </c>
      <c r="AY27" s="48">
        <v>1</v>
      </c>
      <c r="AZ27" s="47"/>
      <c r="BA27" s="49"/>
      <c r="BB27" s="63"/>
      <c r="BC27" s="63"/>
      <c r="BD27" s="63">
        <v>1</v>
      </c>
      <c r="BE27" s="63">
        <v>1</v>
      </c>
      <c r="BF27" s="63"/>
      <c r="BG27" s="63">
        <v>1</v>
      </c>
      <c r="BH27" s="63"/>
      <c r="BI27" s="51"/>
      <c r="BJ27" t="s">
        <v>41</v>
      </c>
    </row>
    <row r="28" spans="2:62" x14ac:dyDescent="0.25">
      <c r="B28" s="47"/>
      <c r="C28" s="47">
        <v>1</v>
      </c>
      <c r="D28" s="48"/>
      <c r="E28" s="48"/>
      <c r="F28" s="48"/>
      <c r="G28" s="49"/>
      <c r="H28" s="85"/>
      <c r="I28" s="48"/>
      <c r="J28" s="48">
        <v>1</v>
      </c>
      <c r="K28" s="48"/>
      <c r="L28" s="48">
        <v>1</v>
      </c>
      <c r="M28" s="48">
        <v>1</v>
      </c>
      <c r="N28" s="48"/>
      <c r="O28" s="48">
        <v>1</v>
      </c>
      <c r="P28" s="48"/>
      <c r="Q28" s="49"/>
      <c r="S28" s="36"/>
      <c r="T28" s="37">
        <f>O$13</f>
        <v>0</v>
      </c>
      <c r="U28" s="34">
        <f>O$29</f>
        <v>1</v>
      </c>
      <c r="V28" s="34">
        <f>O$33</f>
        <v>1</v>
      </c>
      <c r="W28" s="96">
        <f>O$17</f>
        <v>0</v>
      </c>
      <c r="X28" s="34">
        <f>O$19</f>
        <v>0</v>
      </c>
      <c r="Y28" s="34">
        <f>O$35</f>
        <v>1</v>
      </c>
      <c r="Z28" s="34">
        <f>O$31</f>
        <v>1</v>
      </c>
      <c r="AA28" s="96">
        <f>O$15</f>
        <v>0</v>
      </c>
      <c r="AB28" s="319"/>
      <c r="AC28" s="33"/>
      <c r="AD28" s="36"/>
      <c r="AE28" s="37">
        <f>J$13</f>
        <v>1</v>
      </c>
      <c r="AF28" s="34">
        <f>J$29</f>
        <v>1</v>
      </c>
      <c r="AG28" s="34">
        <f>J$33</f>
        <v>1</v>
      </c>
      <c r="AH28" s="96">
        <f>J$17</f>
        <v>1</v>
      </c>
      <c r="AI28" s="34">
        <f>J$19</f>
        <v>1</v>
      </c>
      <c r="AJ28" s="34">
        <f>J$35</f>
        <v>1</v>
      </c>
      <c r="AK28" s="34">
        <f>J$31</f>
        <v>1</v>
      </c>
      <c r="AL28" s="96">
        <f>J$15</f>
        <v>1</v>
      </c>
      <c r="AM28" s="319"/>
      <c r="AO28" t="s">
        <v>67</v>
      </c>
      <c r="AU28" s="47">
        <v>1</v>
      </c>
      <c r="AV28" s="48">
        <v>0</v>
      </c>
      <c r="AW28" s="48">
        <v>1</v>
      </c>
      <c r="AX28" s="48">
        <v>1</v>
      </c>
      <c r="AY28" s="48">
        <v>0</v>
      </c>
      <c r="AZ28" s="47"/>
      <c r="BA28" s="49"/>
      <c r="BB28" s="63"/>
      <c r="BC28" s="63"/>
      <c r="BD28" s="63"/>
      <c r="BE28" s="63">
        <v>1</v>
      </c>
      <c r="BF28" s="63">
        <v>1</v>
      </c>
      <c r="BG28" s="63">
        <v>1</v>
      </c>
      <c r="BH28" s="63"/>
      <c r="BI28" s="51"/>
      <c r="BJ28" t="s">
        <v>34</v>
      </c>
    </row>
    <row r="29" spans="2:62" x14ac:dyDescent="0.25">
      <c r="B29" s="47"/>
      <c r="C29" s="47">
        <v>1</v>
      </c>
      <c r="D29" s="48"/>
      <c r="E29" s="48"/>
      <c r="F29" s="48"/>
      <c r="G29" s="49">
        <v>1</v>
      </c>
      <c r="H29" s="85">
        <v>1</v>
      </c>
      <c r="I29" s="48"/>
      <c r="J29" s="48">
        <v>1</v>
      </c>
      <c r="K29" s="48">
        <v>1</v>
      </c>
      <c r="L29" s="48">
        <v>1</v>
      </c>
      <c r="M29" s="48"/>
      <c r="N29" s="48"/>
      <c r="O29" s="48">
        <v>1</v>
      </c>
      <c r="P29" s="48"/>
      <c r="Q29" s="49"/>
      <c r="S29" s="29"/>
      <c r="T29" s="31"/>
      <c r="U29" s="1"/>
      <c r="V29" s="326" t="s">
        <v>33</v>
      </c>
      <c r="W29" s="326"/>
      <c r="X29" s="326"/>
      <c r="Y29" s="326"/>
      <c r="Z29" s="1"/>
      <c r="AA29" s="31"/>
      <c r="AB29" s="30"/>
      <c r="AC29" s="33"/>
      <c r="AD29" s="29"/>
      <c r="AE29" s="31"/>
      <c r="AF29" s="1"/>
      <c r="AG29" s="326" t="s">
        <v>33</v>
      </c>
      <c r="AH29" s="326"/>
      <c r="AI29" s="326"/>
      <c r="AJ29" s="326"/>
      <c r="AK29" s="1"/>
      <c r="AL29" s="31"/>
      <c r="AM29" s="30"/>
      <c r="AO29" t="s">
        <v>68</v>
      </c>
      <c r="AU29" s="47">
        <v>1</v>
      </c>
      <c r="AV29" s="48">
        <v>0</v>
      </c>
      <c r="AW29" s="48">
        <v>1</v>
      </c>
      <c r="AX29" s="48">
        <v>1</v>
      </c>
      <c r="AY29" s="48">
        <v>1</v>
      </c>
      <c r="AZ29" s="47"/>
      <c r="BA29" s="49"/>
      <c r="BB29" s="63"/>
      <c r="BC29" s="63"/>
      <c r="BD29" s="63"/>
      <c r="BE29" s="63">
        <v>1</v>
      </c>
      <c r="BF29" s="63">
        <v>1</v>
      </c>
      <c r="BG29" s="63">
        <v>1</v>
      </c>
      <c r="BH29" s="63"/>
      <c r="BI29" s="51">
        <v>1</v>
      </c>
      <c r="BJ29" t="s">
        <v>35</v>
      </c>
    </row>
    <row r="30" spans="2:62" x14ac:dyDescent="0.25">
      <c r="B30" s="47"/>
      <c r="C30" s="47">
        <v>1</v>
      </c>
      <c r="D30" s="48"/>
      <c r="E30" s="48"/>
      <c r="F30" s="48">
        <v>1</v>
      </c>
      <c r="G30" s="49"/>
      <c r="H30" s="85"/>
      <c r="I30" s="48"/>
      <c r="J30" s="48">
        <v>1</v>
      </c>
      <c r="K30" s="48">
        <v>1</v>
      </c>
      <c r="L30" s="48">
        <v>1</v>
      </c>
      <c r="M30" s="48"/>
      <c r="N30" s="48"/>
      <c r="O30" s="48">
        <v>1</v>
      </c>
      <c r="P30" s="48"/>
      <c r="Q30" s="49">
        <v>1</v>
      </c>
      <c r="S30" s="37"/>
      <c r="T30" s="34"/>
      <c r="U30" s="35"/>
      <c r="V30" s="35"/>
      <c r="W30" s="34"/>
      <c r="X30" s="324" t="s">
        <v>0</v>
      </c>
      <c r="Y30" s="324"/>
      <c r="Z30" s="324"/>
      <c r="AA30" s="324"/>
      <c r="AB30" s="32"/>
      <c r="AC30" s="33"/>
      <c r="AD30" s="37"/>
      <c r="AE30" s="34"/>
      <c r="AF30" s="35"/>
      <c r="AG30" s="35"/>
      <c r="AH30" s="34"/>
      <c r="AI30" s="324" t="s">
        <v>0</v>
      </c>
      <c r="AJ30" s="324"/>
      <c r="AK30" s="324"/>
      <c r="AL30" s="324"/>
      <c r="AM30" s="32"/>
      <c r="AO30" t="s">
        <v>74</v>
      </c>
      <c r="AU30" s="47">
        <v>1</v>
      </c>
      <c r="AV30" s="48">
        <v>1</v>
      </c>
      <c r="AW30" s="48">
        <v>0</v>
      </c>
      <c r="AX30" s="48">
        <v>0</v>
      </c>
      <c r="AY30" s="48">
        <v>0</v>
      </c>
      <c r="AZ30" s="47"/>
      <c r="BA30" s="49"/>
      <c r="BB30" s="63"/>
      <c r="BC30" s="63"/>
      <c r="BD30" s="63"/>
      <c r="BE30" s="63">
        <v>1</v>
      </c>
      <c r="BF30" s="63">
        <v>1</v>
      </c>
      <c r="BG30" s="63">
        <v>1</v>
      </c>
      <c r="BH30" s="63"/>
      <c r="BI30" s="51"/>
      <c r="BJ30" t="s">
        <v>34</v>
      </c>
    </row>
    <row r="31" spans="2:62" x14ac:dyDescent="0.25">
      <c r="B31" s="53"/>
      <c r="C31" s="53">
        <v>1</v>
      </c>
      <c r="D31" s="54"/>
      <c r="E31" s="54"/>
      <c r="F31" s="54">
        <v>1</v>
      </c>
      <c r="G31" s="55">
        <v>1</v>
      </c>
      <c r="H31" s="85">
        <v>1</v>
      </c>
      <c r="I31" s="48"/>
      <c r="J31" s="48">
        <v>1</v>
      </c>
      <c r="K31" s="48">
        <v>1</v>
      </c>
      <c r="L31" s="48">
        <v>1</v>
      </c>
      <c r="M31" s="48"/>
      <c r="N31" s="48"/>
      <c r="O31" s="48">
        <v>1</v>
      </c>
      <c r="P31" s="48"/>
      <c r="Q31" s="49">
        <v>1</v>
      </c>
      <c r="S31" s="25"/>
      <c r="T31" s="25"/>
      <c r="U31" s="25"/>
      <c r="V31" s="25"/>
      <c r="W31" s="42" t="s">
        <v>25</v>
      </c>
      <c r="X31" s="25"/>
      <c r="Y31" s="25"/>
      <c r="Z31" s="25"/>
      <c r="AA31" s="25"/>
      <c r="AB31" s="25"/>
      <c r="AC31" s="33"/>
      <c r="AD31" s="25"/>
      <c r="AE31" s="25"/>
      <c r="AF31" s="25"/>
      <c r="AG31" s="25"/>
      <c r="AH31" s="42" t="s">
        <v>30</v>
      </c>
      <c r="AI31" s="25"/>
      <c r="AJ31" s="25"/>
      <c r="AK31" s="25"/>
      <c r="AL31" s="25"/>
      <c r="AM31" s="25"/>
      <c r="AU31" s="47">
        <v>1</v>
      </c>
      <c r="AV31" s="48">
        <v>1</v>
      </c>
      <c r="AW31" s="48">
        <v>0</v>
      </c>
      <c r="AX31" s="48">
        <v>0</v>
      </c>
      <c r="AY31" s="48">
        <v>1</v>
      </c>
      <c r="AZ31" s="47"/>
      <c r="BA31" s="49"/>
      <c r="BB31" s="63"/>
      <c r="BC31" s="63"/>
      <c r="BD31" s="63"/>
      <c r="BE31" s="63">
        <v>1</v>
      </c>
      <c r="BF31" s="63">
        <v>1</v>
      </c>
      <c r="BG31" s="63">
        <v>1</v>
      </c>
      <c r="BH31" s="63"/>
      <c r="BI31" s="51">
        <v>1</v>
      </c>
      <c r="BJ31" t="s">
        <v>35</v>
      </c>
    </row>
    <row r="32" spans="2:62" x14ac:dyDescent="0.25">
      <c r="B32" s="52"/>
      <c r="C32" s="52">
        <v>1</v>
      </c>
      <c r="D32" s="43"/>
      <c r="E32" s="43">
        <v>1</v>
      </c>
      <c r="F32" s="43"/>
      <c r="G32" s="44"/>
      <c r="H32" s="85"/>
      <c r="I32" s="48"/>
      <c r="J32" s="48">
        <v>1</v>
      </c>
      <c r="K32" s="48"/>
      <c r="L32" s="48">
        <v>1</v>
      </c>
      <c r="M32" s="48">
        <v>1</v>
      </c>
      <c r="N32" s="48"/>
      <c r="O32" s="48">
        <v>1</v>
      </c>
      <c r="P32" s="48"/>
      <c r="Q32" s="49"/>
      <c r="S32" s="26"/>
      <c r="T32" s="27"/>
      <c r="U32" s="323" t="s">
        <v>8</v>
      </c>
      <c r="V32" s="323"/>
      <c r="W32" s="41"/>
      <c r="X32" s="27"/>
      <c r="Y32" s="323" t="s">
        <v>8</v>
      </c>
      <c r="Z32" s="323"/>
      <c r="AA32" s="40"/>
      <c r="AB32" s="28"/>
      <c r="AC32" s="33"/>
      <c r="AD32" s="26"/>
      <c r="AE32" s="27"/>
      <c r="AF32" s="323" t="s">
        <v>8</v>
      </c>
      <c r="AG32" s="323"/>
      <c r="AH32" s="41"/>
      <c r="AI32" s="27"/>
      <c r="AJ32" s="323" t="s">
        <v>8</v>
      </c>
      <c r="AK32" s="323"/>
      <c r="AL32" s="40"/>
      <c r="AM32" s="28"/>
      <c r="AU32" s="47">
        <v>1</v>
      </c>
      <c r="AV32" s="48">
        <v>1</v>
      </c>
      <c r="AW32" s="48">
        <v>0</v>
      </c>
      <c r="AX32" s="48">
        <v>1</v>
      </c>
      <c r="AY32" s="48">
        <v>0</v>
      </c>
      <c r="AZ32" s="47"/>
      <c r="BA32" s="49"/>
      <c r="BB32" s="63"/>
      <c r="BC32" s="63"/>
      <c r="BD32" s="63"/>
      <c r="BE32" s="63">
        <v>1</v>
      </c>
      <c r="BF32" s="63">
        <v>1</v>
      </c>
      <c r="BG32" s="63">
        <v>1</v>
      </c>
      <c r="BH32" s="63"/>
      <c r="BI32" s="51"/>
      <c r="BJ32" t="s">
        <v>34</v>
      </c>
    </row>
    <row r="33" spans="2:65" x14ac:dyDescent="0.25">
      <c r="B33" s="47"/>
      <c r="C33" s="47">
        <v>1</v>
      </c>
      <c r="D33" s="48"/>
      <c r="E33" s="48">
        <v>1</v>
      </c>
      <c r="F33" s="48"/>
      <c r="G33" s="49">
        <v>1</v>
      </c>
      <c r="H33" s="85"/>
      <c r="I33" s="48"/>
      <c r="J33" s="48">
        <v>1</v>
      </c>
      <c r="K33" s="48"/>
      <c r="L33" s="48">
        <v>1</v>
      </c>
      <c r="M33" s="48">
        <v>1</v>
      </c>
      <c r="N33" s="48"/>
      <c r="O33" s="48">
        <v>1</v>
      </c>
      <c r="P33" s="48"/>
      <c r="Q33" s="49"/>
      <c r="S33" s="29"/>
      <c r="T33" s="93">
        <f>N$12</f>
        <v>0</v>
      </c>
      <c r="U33" s="95">
        <f>N$28</f>
        <v>0</v>
      </c>
      <c r="V33" s="95">
        <f>N$32</f>
        <v>0</v>
      </c>
      <c r="W33" s="94">
        <f>N$16</f>
        <v>0</v>
      </c>
      <c r="X33" s="95">
        <f>N$18</f>
        <v>0</v>
      </c>
      <c r="Y33" s="95">
        <f>N$34</f>
        <v>0</v>
      </c>
      <c r="Z33" s="95">
        <f>N$30</f>
        <v>0</v>
      </c>
      <c r="AA33" s="94">
        <f>N$14</f>
        <v>0</v>
      </c>
      <c r="AB33" s="38"/>
      <c r="AC33" s="33"/>
      <c r="AD33" s="29"/>
      <c r="AE33" s="93">
        <f>I$12</f>
        <v>0</v>
      </c>
      <c r="AF33" s="95">
        <f>I$28</f>
        <v>0</v>
      </c>
      <c r="AG33" s="95">
        <f>I$32</f>
        <v>0</v>
      </c>
      <c r="AH33" s="94">
        <f>I$16</f>
        <v>0</v>
      </c>
      <c r="AI33" s="95">
        <f>I$18</f>
        <v>0</v>
      </c>
      <c r="AJ33" s="95">
        <f>I$34</f>
        <v>0</v>
      </c>
      <c r="AK33" s="95">
        <f>I$30</f>
        <v>0</v>
      </c>
      <c r="AL33" s="94">
        <f>I$14</f>
        <v>0</v>
      </c>
      <c r="AM33" s="38"/>
      <c r="AU33" s="47">
        <v>1</v>
      </c>
      <c r="AV33" s="48">
        <v>1</v>
      </c>
      <c r="AW33" s="48">
        <v>0</v>
      </c>
      <c r="AX33" s="48">
        <v>1</v>
      </c>
      <c r="AY33" s="48">
        <v>1</v>
      </c>
      <c r="AZ33" s="47"/>
      <c r="BA33" s="49"/>
      <c r="BB33" s="63"/>
      <c r="BC33" s="63"/>
      <c r="BD33" s="63"/>
      <c r="BE33" s="63">
        <v>1</v>
      </c>
      <c r="BF33" s="63">
        <v>1</v>
      </c>
      <c r="BG33" s="63">
        <v>1</v>
      </c>
      <c r="BH33" s="63"/>
      <c r="BI33" s="51">
        <v>1</v>
      </c>
      <c r="BJ33" t="s">
        <v>35</v>
      </c>
    </row>
    <row r="34" spans="2:65" x14ac:dyDescent="0.25">
      <c r="B34" s="47"/>
      <c r="C34" s="47">
        <v>1</v>
      </c>
      <c r="D34" s="48"/>
      <c r="E34" s="48">
        <v>1</v>
      </c>
      <c r="F34" s="48">
        <v>1</v>
      </c>
      <c r="G34" s="49"/>
      <c r="H34" s="85"/>
      <c r="I34" s="48"/>
      <c r="J34" s="48">
        <v>1</v>
      </c>
      <c r="K34" s="48">
        <v>1</v>
      </c>
      <c r="L34" s="48">
        <v>1</v>
      </c>
      <c r="M34" s="48"/>
      <c r="N34" s="48"/>
      <c r="O34" s="48">
        <v>1</v>
      </c>
      <c r="P34" s="48"/>
      <c r="Q34" s="49">
        <v>1</v>
      </c>
      <c r="S34" s="320" t="s">
        <v>1</v>
      </c>
      <c r="T34" s="72">
        <f>N$20</f>
        <v>0</v>
      </c>
      <c r="U34" s="71">
        <f>N$36</f>
        <v>0</v>
      </c>
      <c r="V34" s="71">
        <f>N$40</f>
        <v>0</v>
      </c>
      <c r="W34" s="73">
        <f>N$24</f>
        <v>0</v>
      </c>
      <c r="X34" s="71">
        <f>N$26</f>
        <v>0</v>
      </c>
      <c r="Y34" s="71">
        <f>N$42</f>
        <v>0</v>
      </c>
      <c r="Z34" s="71">
        <f>N$38</f>
        <v>0</v>
      </c>
      <c r="AA34" s="73">
        <f>N$22</f>
        <v>0</v>
      </c>
      <c r="AB34" s="39"/>
      <c r="AC34" s="33"/>
      <c r="AD34" s="320" t="s">
        <v>1</v>
      </c>
      <c r="AE34" s="72">
        <f>I$20</f>
        <v>0</v>
      </c>
      <c r="AF34" s="71">
        <f>I$36</f>
        <v>0</v>
      </c>
      <c r="AG34" s="71">
        <f>I$40</f>
        <v>1</v>
      </c>
      <c r="AH34" s="73">
        <f>I$24</f>
        <v>0</v>
      </c>
      <c r="AI34" s="71">
        <f>I$26</f>
        <v>0</v>
      </c>
      <c r="AJ34" s="71">
        <f>I$42</f>
        <v>0</v>
      </c>
      <c r="AK34" s="71">
        <f>I$38</f>
        <v>0</v>
      </c>
      <c r="AL34" s="73">
        <f>I$22</f>
        <v>0</v>
      </c>
      <c r="AM34" s="39"/>
      <c r="AU34" s="47">
        <v>1</v>
      </c>
      <c r="AV34" s="48">
        <v>1</v>
      </c>
      <c r="AW34" s="48">
        <v>1</v>
      </c>
      <c r="AX34" s="48">
        <v>0</v>
      </c>
      <c r="AY34" s="48">
        <v>0</v>
      </c>
      <c r="AZ34" s="47"/>
      <c r="BA34" s="49"/>
      <c r="BB34" s="63"/>
      <c r="BC34" s="63"/>
      <c r="BD34" s="63"/>
      <c r="BE34" s="63"/>
      <c r="BF34" s="63">
        <v>1</v>
      </c>
      <c r="BG34" s="63"/>
      <c r="BH34" s="63">
        <v>1</v>
      </c>
      <c r="BI34" s="51"/>
      <c r="BJ34" t="s">
        <v>42</v>
      </c>
    </row>
    <row r="35" spans="2:65" ht="15" customHeight="1" x14ac:dyDescent="0.25">
      <c r="B35" s="53"/>
      <c r="C35" s="53">
        <v>1</v>
      </c>
      <c r="D35" s="54"/>
      <c r="E35" s="54">
        <v>1</v>
      </c>
      <c r="F35" s="54">
        <v>1</v>
      </c>
      <c r="G35" s="55">
        <v>1</v>
      </c>
      <c r="H35" s="85">
        <v>1</v>
      </c>
      <c r="I35" s="48"/>
      <c r="J35" s="48">
        <v>1</v>
      </c>
      <c r="K35" s="48">
        <v>1</v>
      </c>
      <c r="L35" s="48">
        <v>1</v>
      </c>
      <c r="M35" s="48"/>
      <c r="N35" s="48"/>
      <c r="O35" s="48">
        <v>1</v>
      </c>
      <c r="P35" s="48"/>
      <c r="Q35" s="49">
        <v>1</v>
      </c>
      <c r="S35" s="320"/>
      <c r="T35" s="72">
        <f>N$21</f>
        <v>0</v>
      </c>
      <c r="U35" s="71">
        <f>N$37</f>
        <v>0</v>
      </c>
      <c r="V35" s="71">
        <f>N$41</f>
        <v>1</v>
      </c>
      <c r="W35" s="73">
        <f>N$25</f>
        <v>0</v>
      </c>
      <c r="X35" s="71">
        <f>N$27</f>
        <v>0</v>
      </c>
      <c r="Y35" s="71">
        <f>N$43</f>
        <v>0</v>
      </c>
      <c r="Z35" s="71">
        <f>N$39</f>
        <v>0</v>
      </c>
      <c r="AA35" s="73">
        <f>N$23</f>
        <v>0</v>
      </c>
      <c r="AB35" s="319" t="s">
        <v>19</v>
      </c>
      <c r="AC35" s="33"/>
      <c r="AD35" s="320"/>
      <c r="AE35" s="72">
        <f>I$21</f>
        <v>0</v>
      </c>
      <c r="AF35" s="71">
        <f>I$37</f>
        <v>0</v>
      </c>
      <c r="AG35" s="71">
        <f>I$41</f>
        <v>1</v>
      </c>
      <c r="AH35" s="73">
        <f>I$25</f>
        <v>0</v>
      </c>
      <c r="AI35" s="71">
        <f>I$27</f>
        <v>0</v>
      </c>
      <c r="AJ35" s="71">
        <f>I$43</f>
        <v>0</v>
      </c>
      <c r="AK35" s="71">
        <f>I$39</f>
        <v>0</v>
      </c>
      <c r="AL35" s="73">
        <f>I$23</f>
        <v>0</v>
      </c>
      <c r="AM35" s="319" t="s">
        <v>19</v>
      </c>
      <c r="AO35" t="s">
        <v>77</v>
      </c>
      <c r="AP35" s="48">
        <v>14</v>
      </c>
      <c r="AQ35" s="104" t="s">
        <v>22</v>
      </c>
      <c r="AR35" s="126" t="s">
        <v>64</v>
      </c>
      <c r="AU35" s="47">
        <v>1</v>
      </c>
      <c r="AV35" s="48">
        <v>1</v>
      </c>
      <c r="AW35" s="48">
        <v>1</v>
      </c>
      <c r="AX35" s="48">
        <v>0</v>
      </c>
      <c r="AY35" s="48">
        <v>1</v>
      </c>
      <c r="AZ35" s="47"/>
      <c r="BA35" s="49"/>
      <c r="BB35" s="63"/>
      <c r="BC35" s="63">
        <v>1</v>
      </c>
      <c r="BD35" s="63"/>
      <c r="BE35" s="63"/>
      <c r="BF35" s="63">
        <v>1</v>
      </c>
      <c r="BG35" s="63"/>
      <c r="BH35" s="63">
        <v>1</v>
      </c>
      <c r="BI35" s="51"/>
      <c r="BJ35" t="s">
        <v>43</v>
      </c>
    </row>
    <row r="36" spans="2:65" ht="15" customHeight="1" x14ac:dyDescent="0.25">
      <c r="B36" s="52"/>
      <c r="C36" s="52">
        <v>1</v>
      </c>
      <c r="D36" s="92">
        <v>1</v>
      </c>
      <c r="E36" s="43"/>
      <c r="F36" s="43"/>
      <c r="G36" s="44"/>
      <c r="H36" s="85"/>
      <c r="I36" s="48"/>
      <c r="J36" s="48">
        <v>1</v>
      </c>
      <c r="K36" s="48">
        <v>1</v>
      </c>
      <c r="L36" s="48">
        <v>1</v>
      </c>
      <c r="M36" s="48"/>
      <c r="N36" s="48"/>
      <c r="O36" s="48">
        <v>1</v>
      </c>
      <c r="P36" s="48"/>
      <c r="Q36" s="49"/>
      <c r="S36" s="36"/>
      <c r="T36" s="37">
        <f>N$13</f>
        <v>0</v>
      </c>
      <c r="U36" s="34">
        <f>N$29</f>
        <v>0</v>
      </c>
      <c r="V36" s="34">
        <f>N$33</f>
        <v>0</v>
      </c>
      <c r="W36" s="96">
        <f>N$17</f>
        <v>0</v>
      </c>
      <c r="X36" s="34">
        <f>N$19</f>
        <v>0</v>
      </c>
      <c r="Y36" s="34">
        <f>N$35</f>
        <v>0</v>
      </c>
      <c r="Z36" s="34">
        <f>N$31</f>
        <v>0</v>
      </c>
      <c r="AA36" s="96">
        <f>N$15</f>
        <v>0</v>
      </c>
      <c r="AB36" s="319"/>
      <c r="AC36" s="33"/>
      <c r="AD36" s="36"/>
      <c r="AE36" s="37">
        <f>I$13</f>
        <v>0</v>
      </c>
      <c r="AF36" s="34">
        <f>I$29</f>
        <v>0</v>
      </c>
      <c r="AG36" s="34">
        <f>I$33</f>
        <v>0</v>
      </c>
      <c r="AH36" s="96">
        <f>I$17</f>
        <v>0</v>
      </c>
      <c r="AI36" s="34">
        <f>I$19</f>
        <v>0</v>
      </c>
      <c r="AJ36" s="34">
        <f>I$35</f>
        <v>0</v>
      </c>
      <c r="AK36" s="34">
        <f>I$31</f>
        <v>0</v>
      </c>
      <c r="AL36" s="96">
        <f>I$15</f>
        <v>0</v>
      </c>
      <c r="AM36" s="319"/>
      <c r="AO36" t="s">
        <v>81</v>
      </c>
      <c r="AP36" s="48">
        <v>15</v>
      </c>
      <c r="AQ36" s="104" t="s">
        <v>23</v>
      </c>
      <c r="AR36" s="126" t="s">
        <v>60</v>
      </c>
      <c r="AU36" s="47">
        <v>1</v>
      </c>
      <c r="AV36" s="48">
        <v>1</v>
      </c>
      <c r="AW36" s="48">
        <v>1</v>
      </c>
      <c r="AX36" s="48">
        <v>1</v>
      </c>
      <c r="AY36" s="48">
        <v>0</v>
      </c>
      <c r="AZ36" s="47"/>
      <c r="BA36" s="49"/>
      <c r="BB36" s="63"/>
      <c r="BC36" s="63"/>
      <c r="BD36" s="63">
        <v>1</v>
      </c>
      <c r="BE36" s="63"/>
      <c r="BF36" s="63">
        <v>1</v>
      </c>
      <c r="BG36" s="63">
        <v>1</v>
      </c>
      <c r="BH36" s="63"/>
      <c r="BI36" s="51"/>
      <c r="BJ36" t="s">
        <v>39</v>
      </c>
    </row>
    <row r="37" spans="2:65" ht="15" customHeight="1" x14ac:dyDescent="0.25">
      <c r="B37" s="47"/>
      <c r="C37" s="47">
        <v>1</v>
      </c>
      <c r="D37" s="69">
        <v>1</v>
      </c>
      <c r="E37" s="48"/>
      <c r="F37" s="48"/>
      <c r="G37" s="49">
        <v>1</v>
      </c>
      <c r="H37" s="85">
        <v>1</v>
      </c>
      <c r="I37" s="48"/>
      <c r="J37" s="48">
        <v>1</v>
      </c>
      <c r="K37" s="48">
        <v>1</v>
      </c>
      <c r="L37" s="48">
        <v>1</v>
      </c>
      <c r="M37" s="48"/>
      <c r="N37" s="48"/>
      <c r="O37" s="48">
        <v>1</v>
      </c>
      <c r="P37" s="48"/>
      <c r="Q37" s="49"/>
      <c r="S37" s="29"/>
      <c r="T37" s="31"/>
      <c r="U37" s="1"/>
      <c r="V37" s="326" t="s">
        <v>33</v>
      </c>
      <c r="W37" s="326"/>
      <c r="X37" s="326"/>
      <c r="Y37" s="326"/>
      <c r="Z37" s="1"/>
      <c r="AA37" s="31"/>
      <c r="AB37" s="30"/>
      <c r="AC37" s="33"/>
      <c r="AD37" s="29"/>
      <c r="AE37" s="31"/>
      <c r="AF37" s="1"/>
      <c r="AG37" s="326" t="s">
        <v>33</v>
      </c>
      <c r="AH37" s="326"/>
      <c r="AI37" s="326"/>
      <c r="AJ37" s="326"/>
      <c r="AK37" s="1"/>
      <c r="AL37" s="31"/>
      <c r="AM37" s="30"/>
      <c r="AO37" s="24" t="s">
        <v>78</v>
      </c>
      <c r="AP37" s="48">
        <v>16</v>
      </c>
      <c r="AQ37" s="104" t="s">
        <v>24</v>
      </c>
      <c r="AR37" s="126" t="s">
        <v>62</v>
      </c>
      <c r="AU37" s="60">
        <v>1</v>
      </c>
      <c r="AV37" s="54">
        <v>1</v>
      </c>
      <c r="AW37" s="54">
        <v>1</v>
      </c>
      <c r="AX37" s="54">
        <v>1</v>
      </c>
      <c r="AY37" s="54">
        <v>1</v>
      </c>
      <c r="AZ37" s="53"/>
      <c r="BA37" s="55"/>
      <c r="BB37" s="64"/>
      <c r="BC37" s="64"/>
      <c r="BD37" s="64">
        <v>1</v>
      </c>
      <c r="BE37" s="64"/>
      <c r="BF37" s="64">
        <v>1</v>
      </c>
      <c r="BG37" s="64">
        <v>1</v>
      </c>
      <c r="BH37" s="64"/>
      <c r="BI37" s="65">
        <v>1</v>
      </c>
      <c r="BJ37" t="s">
        <v>40</v>
      </c>
    </row>
    <row r="38" spans="2:65" ht="15" customHeight="1" x14ac:dyDescent="0.25">
      <c r="B38" s="52"/>
      <c r="C38" s="52">
        <v>1</v>
      </c>
      <c r="D38" s="92">
        <v>1</v>
      </c>
      <c r="E38" s="43"/>
      <c r="F38" s="92">
        <v>1</v>
      </c>
      <c r="G38" s="44"/>
      <c r="H38" s="87"/>
      <c r="I38" s="43"/>
      <c r="J38" s="43">
        <v>1</v>
      </c>
      <c r="K38" s="43">
        <v>1</v>
      </c>
      <c r="L38" s="43">
        <v>1</v>
      </c>
      <c r="M38" s="43"/>
      <c r="N38" s="43"/>
      <c r="O38" s="78">
        <v>1</v>
      </c>
      <c r="P38" s="43"/>
      <c r="Q38" s="77"/>
      <c r="S38" s="37"/>
      <c r="T38" s="34"/>
      <c r="U38" s="35"/>
      <c r="V38" s="35"/>
      <c r="W38" s="34"/>
      <c r="X38" s="324" t="s">
        <v>0</v>
      </c>
      <c r="Y38" s="324"/>
      <c r="Z38" s="324"/>
      <c r="AA38" s="324"/>
      <c r="AB38" s="32"/>
      <c r="AC38" s="33"/>
      <c r="AD38" s="37"/>
      <c r="AE38" s="34"/>
      <c r="AF38" s="35"/>
      <c r="AG38" s="35"/>
      <c r="AH38" s="34"/>
      <c r="AI38" s="324" t="s">
        <v>0</v>
      </c>
      <c r="AJ38" s="324"/>
      <c r="AK38" s="324"/>
      <c r="AL38" s="324"/>
      <c r="AM38" s="32"/>
      <c r="AO38" t="s">
        <v>66</v>
      </c>
      <c r="AP38" s="48">
        <v>17</v>
      </c>
      <c r="AQ38" s="104" t="s">
        <v>25</v>
      </c>
      <c r="AR38" s="125" t="s">
        <v>59</v>
      </c>
    </row>
    <row r="39" spans="2:65" ht="15" customHeight="1" x14ac:dyDescent="0.25">
      <c r="B39" s="53"/>
      <c r="C39" s="53">
        <v>1</v>
      </c>
      <c r="D39" s="70">
        <v>1</v>
      </c>
      <c r="E39" s="54"/>
      <c r="F39" s="70">
        <v>1</v>
      </c>
      <c r="G39" s="55">
        <v>1</v>
      </c>
      <c r="H39" s="88">
        <v>1</v>
      </c>
      <c r="I39" s="54"/>
      <c r="J39" s="54">
        <v>1</v>
      </c>
      <c r="K39" s="54">
        <v>1</v>
      </c>
      <c r="L39" s="54">
        <v>1</v>
      </c>
      <c r="M39" s="54"/>
      <c r="N39" s="54"/>
      <c r="O39" s="86">
        <v>0</v>
      </c>
      <c r="P39" s="54"/>
      <c r="Q39" s="97"/>
      <c r="S39" s="25"/>
      <c r="T39" s="25"/>
      <c r="U39" s="25"/>
      <c r="V39" s="25"/>
      <c r="W39" s="42" t="s">
        <v>26</v>
      </c>
      <c r="X39" s="25"/>
      <c r="Y39" s="25"/>
      <c r="Z39" s="25"/>
      <c r="AA39" s="25"/>
      <c r="AB39" s="25"/>
      <c r="AC39" s="33"/>
      <c r="AD39" s="25"/>
      <c r="AE39" s="25"/>
      <c r="AF39" s="25"/>
      <c r="AG39" s="25"/>
      <c r="AH39" s="42" t="s">
        <v>31</v>
      </c>
      <c r="AI39" s="25"/>
      <c r="AJ39" s="25"/>
      <c r="AK39" s="25"/>
      <c r="AL39" s="25"/>
      <c r="AM39" s="25"/>
      <c r="AO39" t="s">
        <v>82</v>
      </c>
      <c r="AP39" s="48">
        <v>18</v>
      </c>
      <c r="AQ39" s="104" t="s">
        <v>26</v>
      </c>
      <c r="AR39" s="125" t="s">
        <v>58</v>
      </c>
    </row>
    <row r="40" spans="2:65" ht="15" customHeight="1" x14ac:dyDescent="0.25">
      <c r="B40" s="47"/>
      <c r="C40" s="47">
        <v>1</v>
      </c>
      <c r="D40" s="69">
        <v>1</v>
      </c>
      <c r="E40" s="48">
        <v>1</v>
      </c>
      <c r="F40" s="48"/>
      <c r="G40" s="48"/>
      <c r="H40" s="85"/>
      <c r="I40" s="48">
        <v>1</v>
      </c>
      <c r="J40" s="48"/>
      <c r="K40" s="48">
        <v>1</v>
      </c>
      <c r="L40" s="48"/>
      <c r="M40" s="48"/>
      <c r="N40" s="48"/>
      <c r="O40" s="48">
        <v>1</v>
      </c>
      <c r="P40" s="48"/>
      <c r="Q40" s="49"/>
      <c r="S40" s="26"/>
      <c r="T40" s="27"/>
      <c r="U40" s="323" t="s">
        <v>8</v>
      </c>
      <c r="V40" s="323"/>
      <c r="W40" s="41"/>
      <c r="X40" s="27"/>
      <c r="Y40" s="323" t="s">
        <v>8</v>
      </c>
      <c r="Z40" s="323"/>
      <c r="AA40" s="40"/>
      <c r="AB40" s="28"/>
      <c r="AC40" s="33"/>
      <c r="AD40" s="26"/>
      <c r="AE40" s="27"/>
      <c r="AF40" s="323" t="s">
        <v>8</v>
      </c>
      <c r="AG40" s="323"/>
      <c r="AH40" s="41"/>
      <c r="AI40" s="27"/>
      <c r="AJ40" s="323" t="s">
        <v>8</v>
      </c>
      <c r="AK40" s="323"/>
      <c r="AL40" s="40"/>
      <c r="AM40" s="28"/>
      <c r="AO40" t="s">
        <v>72</v>
      </c>
      <c r="AP40" s="48">
        <v>19</v>
      </c>
      <c r="AQ40" s="104" t="s">
        <v>27</v>
      </c>
      <c r="AR40" s="126" t="s">
        <v>57</v>
      </c>
    </row>
    <row r="41" spans="2:65" ht="15" customHeight="1" x14ac:dyDescent="0.25">
      <c r="B41" s="47"/>
      <c r="C41" s="47">
        <v>1</v>
      </c>
      <c r="D41" s="69">
        <v>1</v>
      </c>
      <c r="E41" s="48">
        <v>1</v>
      </c>
      <c r="F41" s="48"/>
      <c r="G41" s="48">
        <v>1</v>
      </c>
      <c r="H41" s="85"/>
      <c r="I41" s="48">
        <v>1</v>
      </c>
      <c r="J41" s="48"/>
      <c r="K41" s="48">
        <v>1</v>
      </c>
      <c r="L41" s="48"/>
      <c r="M41" s="48"/>
      <c r="N41" s="48">
        <v>1</v>
      </c>
      <c r="O41" s="48">
        <v>1</v>
      </c>
      <c r="P41" s="48"/>
      <c r="Q41" s="49"/>
      <c r="S41" s="29"/>
      <c r="T41" s="93">
        <f>M$12</f>
        <v>0</v>
      </c>
      <c r="U41" s="95">
        <f>M$28</f>
        <v>1</v>
      </c>
      <c r="V41" s="95">
        <f>M$32</f>
        <v>1</v>
      </c>
      <c r="W41" s="94">
        <f>M$16</f>
        <v>1</v>
      </c>
      <c r="X41" s="95">
        <f>M$18</f>
        <v>0</v>
      </c>
      <c r="Y41" s="95">
        <f>M$34</f>
        <v>0</v>
      </c>
      <c r="Z41" s="95">
        <f>M$30</f>
        <v>0</v>
      </c>
      <c r="AA41" s="94">
        <f>M$14</f>
        <v>0</v>
      </c>
      <c r="AB41" s="38"/>
      <c r="AC41" s="33"/>
      <c r="AD41" s="29"/>
      <c r="AE41" s="93">
        <f>H$12</f>
        <v>0</v>
      </c>
      <c r="AF41" s="95">
        <f>H$28</f>
        <v>0</v>
      </c>
      <c r="AG41" s="95">
        <f>H$32</f>
        <v>0</v>
      </c>
      <c r="AH41" s="94">
        <f>H$16</f>
        <v>1</v>
      </c>
      <c r="AI41" s="95">
        <f>H$18</f>
        <v>0</v>
      </c>
      <c r="AJ41" s="95">
        <f>H$34</f>
        <v>0</v>
      </c>
      <c r="AK41" s="95">
        <f>H$30</f>
        <v>0</v>
      </c>
      <c r="AL41" s="94">
        <f>H$14</f>
        <v>0</v>
      </c>
      <c r="AM41" s="38"/>
      <c r="AO41" t="s">
        <v>79</v>
      </c>
      <c r="AP41" s="48">
        <v>20</v>
      </c>
      <c r="AQ41" s="104" t="s">
        <v>28</v>
      </c>
      <c r="AR41" s="126" t="s">
        <v>56</v>
      </c>
    </row>
    <row r="42" spans="2:65" ht="15" customHeight="1" x14ac:dyDescent="0.25">
      <c r="B42" s="52"/>
      <c r="C42" s="52">
        <v>1</v>
      </c>
      <c r="D42" s="92">
        <v>1</v>
      </c>
      <c r="E42" s="43">
        <v>1</v>
      </c>
      <c r="F42" s="92">
        <v>1</v>
      </c>
      <c r="G42" s="43"/>
      <c r="H42" s="87"/>
      <c r="I42" s="43"/>
      <c r="J42" s="43">
        <v>1</v>
      </c>
      <c r="K42" s="43">
        <v>1</v>
      </c>
      <c r="L42" s="43"/>
      <c r="M42" s="43">
        <v>1</v>
      </c>
      <c r="N42" s="43"/>
      <c r="O42" s="78">
        <v>1</v>
      </c>
      <c r="P42" s="43"/>
      <c r="Q42" s="77"/>
      <c r="S42" s="320" t="s">
        <v>1</v>
      </c>
      <c r="T42" s="72">
        <f>M$20</f>
        <v>0</v>
      </c>
      <c r="U42" s="71">
        <f>M$36</f>
        <v>0</v>
      </c>
      <c r="V42" s="71">
        <f>M$40</f>
        <v>0</v>
      </c>
      <c r="W42" s="73">
        <f>M$24</f>
        <v>0</v>
      </c>
      <c r="X42" s="71">
        <f>M$26</f>
        <v>1</v>
      </c>
      <c r="Y42" s="71">
        <f>M$42</f>
        <v>1</v>
      </c>
      <c r="Z42" s="71">
        <f>M$38</f>
        <v>0</v>
      </c>
      <c r="AA42" s="73">
        <f>M$22</f>
        <v>0</v>
      </c>
      <c r="AB42" s="39"/>
      <c r="AC42" s="33"/>
      <c r="AD42" s="320" t="s">
        <v>1</v>
      </c>
      <c r="AE42" s="72">
        <f>H$20</f>
        <v>0</v>
      </c>
      <c r="AF42" s="71">
        <f>H$36</f>
        <v>0</v>
      </c>
      <c r="AG42" s="71">
        <f>H$40</f>
        <v>0</v>
      </c>
      <c r="AH42" s="73">
        <f>H$24</f>
        <v>1</v>
      </c>
      <c r="AI42" s="71">
        <f>H$26</f>
        <v>0</v>
      </c>
      <c r="AJ42" s="71">
        <f>H$42</f>
        <v>0</v>
      </c>
      <c r="AK42" s="71">
        <f>H$38</f>
        <v>0</v>
      </c>
      <c r="AL42" s="73">
        <f>H$22</f>
        <v>0</v>
      </c>
      <c r="AM42" s="39"/>
      <c r="AO42" t="s">
        <v>67</v>
      </c>
      <c r="AP42" s="48">
        <v>21</v>
      </c>
      <c r="AQ42" s="104" t="s">
        <v>29</v>
      </c>
      <c r="AR42" s="125" t="s">
        <v>55</v>
      </c>
    </row>
    <row r="43" spans="2:65" ht="15.75" customHeight="1" thickBot="1" x14ac:dyDescent="0.3">
      <c r="B43" s="105"/>
      <c r="C43" s="105">
        <v>1</v>
      </c>
      <c r="D43" s="106">
        <v>1</v>
      </c>
      <c r="E43" s="107">
        <v>1</v>
      </c>
      <c r="F43" s="106">
        <v>1</v>
      </c>
      <c r="G43" s="108">
        <v>1</v>
      </c>
      <c r="H43" s="109">
        <v>1</v>
      </c>
      <c r="I43" s="107"/>
      <c r="J43" s="107">
        <v>1</v>
      </c>
      <c r="K43" s="107">
        <v>1</v>
      </c>
      <c r="L43" s="107"/>
      <c r="M43" s="107">
        <v>1</v>
      </c>
      <c r="N43" s="107"/>
      <c r="O43" s="110">
        <v>0</v>
      </c>
      <c r="P43" s="107"/>
      <c r="Q43" s="111"/>
      <c r="S43" s="320"/>
      <c r="T43" s="72">
        <f>M$21</f>
        <v>0</v>
      </c>
      <c r="U43" s="71">
        <f>M$37</f>
        <v>0</v>
      </c>
      <c r="V43" s="71">
        <f>M$41</f>
        <v>0</v>
      </c>
      <c r="W43" s="73">
        <f>M$25</f>
        <v>0</v>
      </c>
      <c r="X43" s="71">
        <f>M$27</f>
        <v>1</v>
      </c>
      <c r="Y43" s="71">
        <f>M$43</f>
        <v>1</v>
      </c>
      <c r="Z43" s="71">
        <f>M$39</f>
        <v>0</v>
      </c>
      <c r="AA43" s="73">
        <f>M$23</f>
        <v>0</v>
      </c>
      <c r="AB43" s="319" t="s">
        <v>19</v>
      </c>
      <c r="AC43" s="33"/>
      <c r="AD43" s="320"/>
      <c r="AE43" s="72">
        <f>H$21</f>
        <v>1</v>
      </c>
      <c r="AF43" s="71">
        <f>H$37</f>
        <v>1</v>
      </c>
      <c r="AG43" s="71">
        <f>H$41</f>
        <v>0</v>
      </c>
      <c r="AH43" s="73">
        <f>H$25</f>
        <v>1</v>
      </c>
      <c r="AI43" s="71">
        <f>H$27</f>
        <v>1</v>
      </c>
      <c r="AJ43" s="71">
        <f>H$43</f>
        <v>1</v>
      </c>
      <c r="AK43" s="71">
        <f>H$39</f>
        <v>1</v>
      </c>
      <c r="AL43" s="73">
        <f>H$23</f>
        <v>1</v>
      </c>
      <c r="AM43" s="319" t="s">
        <v>19</v>
      </c>
      <c r="AO43" t="s">
        <v>68</v>
      </c>
      <c r="AP43" s="48">
        <v>22</v>
      </c>
      <c r="AQ43" s="104" t="s">
        <v>30</v>
      </c>
      <c r="AR43" s="125" t="s">
        <v>61</v>
      </c>
    </row>
    <row r="44" spans="2:65" ht="15" customHeight="1" x14ac:dyDescent="0.25">
      <c r="B44" s="75">
        <v>2</v>
      </c>
      <c r="C44" s="75">
        <v>8</v>
      </c>
      <c r="D44" s="76">
        <v>7</v>
      </c>
      <c r="E44" s="76">
        <v>6</v>
      </c>
      <c r="F44" s="76">
        <v>5</v>
      </c>
      <c r="G44" s="79">
        <v>4</v>
      </c>
      <c r="H44" s="43">
        <v>23</v>
      </c>
      <c r="I44" s="43">
        <v>22</v>
      </c>
      <c r="J44" s="43">
        <v>21</v>
      </c>
      <c r="K44" s="43">
        <v>20</v>
      </c>
      <c r="L44" s="43">
        <v>19</v>
      </c>
      <c r="M44" s="43">
        <v>18</v>
      </c>
      <c r="N44" s="43">
        <v>17</v>
      </c>
      <c r="O44" s="43">
        <v>16</v>
      </c>
      <c r="P44" s="43">
        <v>15</v>
      </c>
      <c r="Q44" s="44">
        <v>14</v>
      </c>
      <c r="S44" s="36"/>
      <c r="T44" s="37">
        <f>M$13</f>
        <v>0</v>
      </c>
      <c r="U44" s="34">
        <f>M$29</f>
        <v>0</v>
      </c>
      <c r="V44" s="34">
        <f>M$33</f>
        <v>1</v>
      </c>
      <c r="W44" s="96">
        <f>M$17</f>
        <v>1</v>
      </c>
      <c r="X44" s="34">
        <f>M$19</f>
        <v>0</v>
      </c>
      <c r="Y44" s="34">
        <f>M$35</f>
        <v>0</v>
      </c>
      <c r="Z44" s="34">
        <f>M$31</f>
        <v>0</v>
      </c>
      <c r="AA44" s="96">
        <f>M$15</f>
        <v>0</v>
      </c>
      <c r="AB44" s="319"/>
      <c r="AC44" s="33"/>
      <c r="AD44" s="36"/>
      <c r="AE44" s="37">
        <f>H$13</f>
        <v>1</v>
      </c>
      <c r="AF44" s="34">
        <f>H$29</f>
        <v>1</v>
      </c>
      <c r="AG44" s="34">
        <f>H$33</f>
        <v>0</v>
      </c>
      <c r="AH44" s="96">
        <f>H$17</f>
        <v>1</v>
      </c>
      <c r="AI44" s="34">
        <f>H$19</f>
        <v>1</v>
      </c>
      <c r="AJ44" s="34">
        <f>H$35</f>
        <v>1</v>
      </c>
      <c r="AK44" s="34">
        <f>H$31</f>
        <v>1</v>
      </c>
      <c r="AL44" s="96">
        <f>H$15</f>
        <v>1</v>
      </c>
      <c r="AM44" s="319"/>
      <c r="AO44" t="s">
        <v>80</v>
      </c>
      <c r="AP44" s="48">
        <v>23</v>
      </c>
      <c r="AQ44" s="104" t="s">
        <v>31</v>
      </c>
      <c r="AR44" s="126" t="s">
        <v>63</v>
      </c>
    </row>
    <row r="45" spans="2:65" ht="15" customHeight="1" x14ac:dyDescent="0.25">
      <c r="B45" s="89" t="s">
        <v>71</v>
      </c>
      <c r="C45" s="89" t="s">
        <v>8</v>
      </c>
      <c r="D45" s="90" t="s">
        <v>1</v>
      </c>
      <c r="E45" s="90" t="s">
        <v>33</v>
      </c>
      <c r="F45" s="90" t="s">
        <v>0</v>
      </c>
      <c r="G45" s="91" t="s">
        <v>19</v>
      </c>
      <c r="H45" s="112" t="s">
        <v>31</v>
      </c>
      <c r="I45" s="103" t="s">
        <v>30</v>
      </c>
      <c r="J45" s="103" t="s">
        <v>29</v>
      </c>
      <c r="K45" s="121" t="s">
        <v>28</v>
      </c>
      <c r="L45" s="121" t="s">
        <v>27</v>
      </c>
      <c r="M45" s="103" t="s">
        <v>26</v>
      </c>
      <c r="N45" s="103" t="s">
        <v>25</v>
      </c>
      <c r="O45" s="112" t="s">
        <v>24</v>
      </c>
      <c r="P45" s="103" t="s">
        <v>23</v>
      </c>
      <c r="Q45" s="113" t="s">
        <v>22</v>
      </c>
      <c r="S45" s="29"/>
      <c r="T45" s="31"/>
      <c r="U45" s="1"/>
      <c r="V45" s="326" t="s">
        <v>33</v>
      </c>
      <c r="W45" s="326"/>
      <c r="X45" s="326"/>
      <c r="Y45" s="326"/>
      <c r="Z45" s="1"/>
      <c r="AA45" s="31"/>
      <c r="AB45" s="30"/>
      <c r="AC45" s="33"/>
      <c r="AD45" s="29"/>
      <c r="AE45" s="31"/>
      <c r="AF45" s="1"/>
      <c r="AG45" s="326" t="s">
        <v>33</v>
      </c>
      <c r="AH45" s="326"/>
      <c r="AI45" s="326"/>
      <c r="AJ45" s="326"/>
      <c r="AK45" s="1"/>
      <c r="AL45" s="31"/>
      <c r="AM45" s="30"/>
      <c r="AP45" s="122"/>
      <c r="AQ45" s="122"/>
      <c r="AR45" s="122"/>
      <c r="AS45" s="122"/>
      <c r="AT45" s="122"/>
      <c r="AU45" s="122"/>
      <c r="AV45" s="122"/>
      <c r="AW45" s="122"/>
      <c r="AX45" s="123"/>
    </row>
    <row r="46" spans="2:65" ht="15" customHeight="1" x14ac:dyDescent="0.25">
      <c r="B46" s="47">
        <v>1</v>
      </c>
      <c r="C46" s="47"/>
      <c r="D46" s="48"/>
      <c r="E46" s="48"/>
      <c r="F46" s="48"/>
      <c r="G46" s="49"/>
      <c r="H46" s="85"/>
      <c r="I46" s="48"/>
      <c r="J46" s="48">
        <v>1</v>
      </c>
      <c r="K46" s="48">
        <v>1</v>
      </c>
      <c r="L46" s="48">
        <v>1</v>
      </c>
      <c r="M46" s="48"/>
      <c r="N46" s="48"/>
      <c r="O46" s="48"/>
      <c r="P46" s="48"/>
      <c r="Q46" s="49"/>
      <c r="S46" s="37"/>
      <c r="T46" s="34"/>
      <c r="U46" s="35"/>
      <c r="V46" s="35"/>
      <c r="W46" s="34"/>
      <c r="X46" s="324" t="s">
        <v>0</v>
      </c>
      <c r="Y46" s="324"/>
      <c r="Z46" s="324"/>
      <c r="AA46" s="324"/>
      <c r="AB46" s="32"/>
      <c r="AC46" s="33"/>
      <c r="AD46" s="37"/>
      <c r="AE46" s="34"/>
      <c r="AF46" s="35"/>
      <c r="AG46" s="35"/>
      <c r="AH46" s="34"/>
      <c r="AI46" s="324" t="s">
        <v>0</v>
      </c>
      <c r="AJ46" s="324"/>
      <c r="AK46" s="324"/>
      <c r="AL46" s="324"/>
      <c r="AM46" s="32"/>
      <c r="AP46" s="122"/>
      <c r="AQ46" s="122"/>
      <c r="AR46" s="122"/>
      <c r="AS46" s="122"/>
      <c r="AT46" s="122"/>
      <c r="AU46" s="122"/>
      <c r="AV46" s="122"/>
      <c r="AW46" s="122"/>
      <c r="AX46" s="122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</row>
    <row r="47" spans="2:65" ht="15" customHeight="1" x14ac:dyDescent="0.25">
      <c r="B47" s="47">
        <v>1</v>
      </c>
      <c r="C47" s="47"/>
      <c r="D47" s="48"/>
      <c r="E47" s="48"/>
      <c r="F47" s="48"/>
      <c r="G47" s="49">
        <v>1</v>
      </c>
      <c r="H47" s="85">
        <v>1</v>
      </c>
      <c r="I47" s="48"/>
      <c r="J47" s="48">
        <v>1</v>
      </c>
      <c r="K47" s="48">
        <v>1</v>
      </c>
      <c r="L47" s="48">
        <v>1</v>
      </c>
      <c r="M47" s="48"/>
      <c r="N47" s="48"/>
      <c r="O47" s="48"/>
      <c r="P47" s="48"/>
      <c r="Q47" s="49"/>
      <c r="AQ47" s="122"/>
      <c r="AR47" s="122"/>
      <c r="AS47" s="122"/>
      <c r="AT47" s="122"/>
      <c r="AU47" s="122"/>
      <c r="AV47" s="122"/>
      <c r="AW47" s="122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</row>
    <row r="48" spans="2:65" ht="15" customHeight="1" x14ac:dyDescent="0.25">
      <c r="B48" s="47">
        <v>1</v>
      </c>
      <c r="C48" s="47"/>
      <c r="D48" s="48"/>
      <c r="E48" s="48"/>
      <c r="F48" s="48">
        <v>1</v>
      </c>
      <c r="G48" s="49"/>
      <c r="H48" s="85"/>
      <c r="I48" s="48"/>
      <c r="J48" s="48">
        <v>1</v>
      </c>
      <c r="K48" s="48">
        <v>1</v>
      </c>
      <c r="L48" s="48">
        <v>1</v>
      </c>
      <c r="M48" s="48"/>
      <c r="N48" s="48"/>
      <c r="O48" s="48"/>
      <c r="P48" s="48"/>
      <c r="Q48" s="49">
        <v>1</v>
      </c>
      <c r="AQ48" s="122"/>
      <c r="AR48" s="122"/>
      <c r="AS48" s="122"/>
      <c r="AT48" s="122"/>
      <c r="AU48" s="122"/>
      <c r="AV48" s="122"/>
      <c r="AW48" s="122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</row>
    <row r="49" spans="2:65" ht="15" customHeight="1" x14ac:dyDescent="0.25">
      <c r="B49" s="53">
        <v>1</v>
      </c>
      <c r="C49" s="53"/>
      <c r="D49" s="54"/>
      <c r="E49" s="54"/>
      <c r="F49" s="54">
        <v>1</v>
      </c>
      <c r="G49" s="55">
        <v>1</v>
      </c>
      <c r="H49" s="115">
        <v>1</v>
      </c>
      <c r="I49" s="48"/>
      <c r="J49" s="48">
        <v>1</v>
      </c>
      <c r="K49" s="48">
        <v>1</v>
      </c>
      <c r="L49" s="48">
        <v>1</v>
      </c>
      <c r="M49" s="48"/>
      <c r="N49" s="48"/>
      <c r="O49" s="48"/>
      <c r="P49" s="48"/>
      <c r="Q49" s="49">
        <v>1</v>
      </c>
      <c r="AQ49" s="122"/>
      <c r="AR49" s="122"/>
      <c r="AS49" s="122"/>
      <c r="AT49" s="122"/>
      <c r="AU49" s="122"/>
      <c r="AV49" s="122"/>
      <c r="AW49" s="122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</row>
    <row r="50" spans="2:65" ht="15" customHeight="1" x14ac:dyDescent="0.25">
      <c r="B50" s="52">
        <v>1</v>
      </c>
      <c r="C50" s="52"/>
      <c r="D50" s="43"/>
      <c r="E50" s="43">
        <v>1</v>
      </c>
      <c r="F50" s="43"/>
      <c r="G50" s="44"/>
      <c r="H50" s="85"/>
      <c r="I50" s="48"/>
      <c r="J50" s="48">
        <v>1</v>
      </c>
      <c r="K50" s="114">
        <v>1</v>
      </c>
      <c r="L50" s="48">
        <v>1</v>
      </c>
      <c r="M50" s="48">
        <v>1</v>
      </c>
      <c r="N50" s="48"/>
      <c r="O50" s="48"/>
      <c r="P50" s="48"/>
      <c r="Q50" s="49"/>
      <c r="AQ50" s="122"/>
      <c r="AR50" s="122"/>
      <c r="AS50" s="122"/>
      <c r="AT50" s="122"/>
      <c r="AU50" s="122"/>
      <c r="AV50" s="122"/>
      <c r="AW50" s="122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</row>
    <row r="51" spans="2:65" ht="15" customHeight="1" x14ac:dyDescent="0.25">
      <c r="B51" s="47">
        <v>1</v>
      </c>
      <c r="C51" s="47"/>
      <c r="D51" s="48"/>
      <c r="E51" s="48">
        <v>1</v>
      </c>
      <c r="F51" s="48"/>
      <c r="G51" s="49">
        <v>1</v>
      </c>
      <c r="H51" s="85">
        <v>1</v>
      </c>
      <c r="I51" s="48"/>
      <c r="J51" s="48">
        <v>1</v>
      </c>
      <c r="K51" s="114">
        <v>1</v>
      </c>
      <c r="L51" s="48">
        <v>1</v>
      </c>
      <c r="M51" s="48">
        <v>1</v>
      </c>
      <c r="N51" s="48"/>
      <c r="O51" s="48"/>
      <c r="P51" s="48"/>
      <c r="Q51" s="49"/>
      <c r="AQ51" s="122"/>
      <c r="AR51" s="122"/>
      <c r="AS51" s="122"/>
      <c r="AT51" s="122"/>
      <c r="AU51" s="122"/>
      <c r="AV51" s="122"/>
      <c r="AW51" s="122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</row>
    <row r="52" spans="2:65" ht="15" customHeight="1" x14ac:dyDescent="0.25">
      <c r="B52" s="47">
        <v>1</v>
      </c>
      <c r="C52" s="47"/>
      <c r="D52" s="48"/>
      <c r="E52" s="48">
        <v>1</v>
      </c>
      <c r="F52" s="48">
        <v>1</v>
      </c>
      <c r="G52" s="49"/>
      <c r="H52" s="85"/>
      <c r="I52" s="48"/>
      <c r="J52" s="48">
        <v>1</v>
      </c>
      <c r="K52" s="48">
        <v>1</v>
      </c>
      <c r="L52" s="48">
        <v>1</v>
      </c>
      <c r="M52" s="48"/>
      <c r="N52" s="48"/>
      <c r="O52" s="48"/>
      <c r="P52" s="48"/>
      <c r="Q52" s="49">
        <v>1</v>
      </c>
      <c r="AQ52" s="122"/>
      <c r="AR52" s="122"/>
      <c r="AS52" s="122"/>
      <c r="AT52" s="122"/>
      <c r="AU52" s="122"/>
      <c r="AV52" s="122"/>
      <c r="AW52" s="122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</row>
    <row r="53" spans="2:65" ht="15" customHeight="1" x14ac:dyDescent="0.25">
      <c r="B53" s="53">
        <v>1</v>
      </c>
      <c r="C53" s="53"/>
      <c r="D53" s="54"/>
      <c r="E53" s="54">
        <v>1</v>
      </c>
      <c r="F53" s="54">
        <v>1</v>
      </c>
      <c r="G53" s="55">
        <v>1</v>
      </c>
      <c r="H53" s="85">
        <v>1</v>
      </c>
      <c r="I53" s="48"/>
      <c r="J53" s="48">
        <v>1</v>
      </c>
      <c r="K53" s="48">
        <v>1</v>
      </c>
      <c r="L53" s="48">
        <v>1</v>
      </c>
      <c r="M53" s="48"/>
      <c r="N53" s="48"/>
      <c r="O53" s="48"/>
      <c r="P53" s="48"/>
      <c r="Q53" s="49">
        <v>1</v>
      </c>
      <c r="AQ53" s="122"/>
      <c r="AR53" s="122"/>
      <c r="AS53" s="122"/>
      <c r="AT53" s="122"/>
      <c r="AU53" s="122"/>
      <c r="AV53" s="122"/>
      <c r="AW53" s="122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</row>
    <row r="54" spans="2:65" ht="15" customHeight="1" x14ac:dyDescent="0.25">
      <c r="B54" s="52">
        <v>1</v>
      </c>
      <c r="C54" s="52"/>
      <c r="D54" s="92">
        <v>1</v>
      </c>
      <c r="E54" s="43"/>
      <c r="F54" s="43"/>
      <c r="G54" s="44"/>
      <c r="H54" s="85"/>
      <c r="I54" s="48"/>
      <c r="J54" s="48">
        <v>1</v>
      </c>
      <c r="K54" s="48">
        <v>1</v>
      </c>
      <c r="L54" s="48">
        <v>1</v>
      </c>
      <c r="M54" s="48"/>
      <c r="N54" s="48"/>
      <c r="O54" s="48"/>
      <c r="P54" s="48"/>
      <c r="Q54" s="49"/>
      <c r="AQ54" s="122"/>
      <c r="AR54" s="122"/>
      <c r="AS54" s="122"/>
      <c r="AT54" s="122"/>
      <c r="AU54" s="122"/>
      <c r="AV54" s="122"/>
      <c r="AW54" s="122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</row>
    <row r="55" spans="2:65" ht="15" customHeight="1" x14ac:dyDescent="0.25">
      <c r="B55" s="47">
        <v>1</v>
      </c>
      <c r="C55" s="47"/>
      <c r="D55" s="69">
        <v>1</v>
      </c>
      <c r="E55" s="48"/>
      <c r="F55" s="48"/>
      <c r="G55" s="49">
        <v>1</v>
      </c>
      <c r="H55" s="85">
        <v>1</v>
      </c>
      <c r="I55" s="48"/>
      <c r="J55" s="48">
        <v>1</v>
      </c>
      <c r="K55" s="48">
        <v>1</v>
      </c>
      <c r="L55" s="48">
        <v>1</v>
      </c>
      <c r="M55" s="48"/>
      <c r="N55" s="48"/>
      <c r="O55" s="48"/>
      <c r="P55" s="48"/>
      <c r="Q55" s="49"/>
      <c r="AQ55" s="122"/>
      <c r="AR55" s="122"/>
      <c r="AS55" s="122"/>
      <c r="AT55" s="122"/>
      <c r="AU55" s="122"/>
      <c r="AV55" s="122"/>
      <c r="AW55" s="122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</row>
    <row r="56" spans="2:65" ht="15" customHeight="1" x14ac:dyDescent="0.25">
      <c r="B56" s="52">
        <v>1</v>
      </c>
      <c r="C56" s="52"/>
      <c r="D56" s="92">
        <v>1</v>
      </c>
      <c r="E56" s="43"/>
      <c r="F56" s="92">
        <v>1</v>
      </c>
      <c r="G56" s="44"/>
      <c r="H56" s="87"/>
      <c r="I56" s="43"/>
      <c r="J56" s="43">
        <v>1</v>
      </c>
      <c r="K56" s="43">
        <v>1</v>
      </c>
      <c r="L56" s="43">
        <v>1</v>
      </c>
      <c r="M56" s="43"/>
      <c r="N56" s="43"/>
      <c r="O56" s="117"/>
      <c r="P56" s="43"/>
      <c r="Q56" s="119">
        <v>1</v>
      </c>
      <c r="AQ56" s="122"/>
      <c r="AR56" s="122"/>
      <c r="AS56" s="122"/>
      <c r="AT56" s="122"/>
      <c r="AU56" s="122"/>
      <c r="AV56" s="122"/>
      <c r="AW56" s="122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</row>
    <row r="57" spans="2:65" ht="15" customHeight="1" x14ac:dyDescent="0.25">
      <c r="B57" s="53">
        <v>1</v>
      </c>
      <c r="C57" s="53"/>
      <c r="D57" s="70">
        <v>1</v>
      </c>
      <c r="E57" s="54"/>
      <c r="F57" s="70">
        <v>1</v>
      </c>
      <c r="G57" s="55">
        <v>1</v>
      </c>
      <c r="H57" s="116">
        <v>1</v>
      </c>
      <c r="I57" s="54"/>
      <c r="J57" s="54">
        <v>1</v>
      </c>
      <c r="K57" s="54">
        <v>1</v>
      </c>
      <c r="L57" s="54">
        <v>1</v>
      </c>
      <c r="M57" s="54"/>
      <c r="N57" s="54"/>
      <c r="O57" s="86">
        <v>0</v>
      </c>
      <c r="P57" s="54"/>
      <c r="Q57" s="120">
        <v>1</v>
      </c>
      <c r="AQ57" s="122"/>
      <c r="AR57" s="122"/>
      <c r="AS57" s="122"/>
      <c r="AT57" s="122"/>
      <c r="AU57" s="122"/>
      <c r="AV57" s="122"/>
      <c r="AW57" s="122"/>
      <c r="AX57" s="48"/>
      <c r="AY57" s="104"/>
      <c r="AZ57" s="125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</row>
    <row r="58" spans="2:65" ht="15" customHeight="1" x14ac:dyDescent="0.25">
      <c r="B58" s="47">
        <v>1</v>
      </c>
      <c r="C58" s="47"/>
      <c r="D58" s="69">
        <v>1</v>
      </c>
      <c r="E58" s="48">
        <v>1</v>
      </c>
      <c r="F58" s="48"/>
      <c r="G58" s="49"/>
      <c r="H58" s="85"/>
      <c r="I58" s="48"/>
      <c r="J58" s="48">
        <v>1</v>
      </c>
      <c r="K58" s="48">
        <v>1</v>
      </c>
      <c r="L58" s="114">
        <v>1</v>
      </c>
      <c r="M58" s="48"/>
      <c r="N58" s="48"/>
      <c r="O58" s="48"/>
      <c r="P58" s="48"/>
      <c r="Q58" s="49"/>
      <c r="AQ58" s="124"/>
      <c r="AR58" s="124"/>
      <c r="AS58" s="124"/>
      <c r="AT58" s="124"/>
      <c r="AU58" s="124"/>
      <c r="AV58" s="124"/>
      <c r="AW58" s="124"/>
      <c r="AX58" s="48"/>
      <c r="AY58" s="104"/>
      <c r="AZ58" s="125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</row>
    <row r="59" spans="2:65" ht="15" customHeight="1" x14ac:dyDescent="0.25">
      <c r="B59" s="47">
        <v>1</v>
      </c>
      <c r="C59" s="47"/>
      <c r="D59" s="69">
        <v>1</v>
      </c>
      <c r="E59" s="48">
        <v>1</v>
      </c>
      <c r="F59" s="48"/>
      <c r="G59" s="49">
        <v>1</v>
      </c>
      <c r="H59" s="85">
        <v>1</v>
      </c>
      <c r="I59" s="48"/>
      <c r="J59" s="48">
        <v>1</v>
      </c>
      <c r="K59" s="48">
        <v>1</v>
      </c>
      <c r="L59" s="114">
        <v>1</v>
      </c>
      <c r="M59" s="48"/>
      <c r="N59" s="48"/>
      <c r="O59" s="48"/>
      <c r="P59" s="114"/>
      <c r="Q59" s="49"/>
      <c r="AQ59" s="122"/>
      <c r="AR59" s="122"/>
      <c r="AS59" s="122"/>
      <c r="AT59" s="122"/>
      <c r="AU59" s="122"/>
      <c r="AV59" s="122"/>
      <c r="AW59" s="122"/>
      <c r="AX59" s="48"/>
      <c r="AY59" s="104"/>
      <c r="AZ59" s="125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</row>
    <row r="60" spans="2:65" ht="15" customHeight="1" x14ac:dyDescent="0.25">
      <c r="B60" s="52">
        <v>1</v>
      </c>
      <c r="C60" s="52"/>
      <c r="D60" s="92">
        <v>1</v>
      </c>
      <c r="E60" s="43">
        <v>1</v>
      </c>
      <c r="F60" s="92">
        <v>1</v>
      </c>
      <c r="G60" s="44"/>
      <c r="H60" s="87"/>
      <c r="I60" s="43"/>
      <c r="J60" s="43">
        <v>1</v>
      </c>
      <c r="K60" s="43">
        <v>1</v>
      </c>
      <c r="L60" s="117">
        <v>1</v>
      </c>
      <c r="M60" s="43">
        <v>1</v>
      </c>
      <c r="N60" s="43"/>
      <c r="O60" s="117"/>
      <c r="P60" s="43"/>
      <c r="Q60" s="119">
        <v>1</v>
      </c>
      <c r="AQ60" s="124"/>
      <c r="AR60" s="124"/>
      <c r="AS60" s="124"/>
      <c r="AT60" s="124"/>
      <c r="AU60" s="124"/>
      <c r="AV60" s="124"/>
      <c r="AW60" s="124"/>
      <c r="AX60" s="48"/>
      <c r="AY60" s="104"/>
      <c r="AZ60" s="125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</row>
    <row r="61" spans="2:65" ht="15" customHeight="1" x14ac:dyDescent="0.25">
      <c r="B61" s="53">
        <v>1</v>
      </c>
      <c r="C61" s="53"/>
      <c r="D61" s="70">
        <v>1</v>
      </c>
      <c r="E61" s="54">
        <v>1</v>
      </c>
      <c r="F61" s="70">
        <v>1</v>
      </c>
      <c r="G61" s="55">
        <v>1</v>
      </c>
      <c r="H61" s="88">
        <v>1</v>
      </c>
      <c r="I61" s="54"/>
      <c r="J61" s="54">
        <v>1</v>
      </c>
      <c r="K61" s="54">
        <v>1</v>
      </c>
      <c r="L61" s="118">
        <v>1</v>
      </c>
      <c r="M61" s="54">
        <v>1</v>
      </c>
      <c r="N61" s="54"/>
      <c r="O61" s="86">
        <v>0</v>
      </c>
      <c r="P61" s="54"/>
      <c r="Q61" s="120">
        <v>1</v>
      </c>
      <c r="AQ61" s="124"/>
      <c r="AR61" s="124"/>
      <c r="AS61" s="124"/>
      <c r="AT61" s="124"/>
      <c r="AU61" s="124"/>
      <c r="AV61" s="124"/>
      <c r="AW61" s="124"/>
      <c r="AX61" s="48"/>
      <c r="AY61" s="104"/>
      <c r="AZ61" s="125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</row>
    <row r="62" spans="2:65" ht="15" customHeight="1" x14ac:dyDescent="0.25">
      <c r="B62" s="47">
        <v>1</v>
      </c>
      <c r="C62" s="47">
        <v>1</v>
      </c>
      <c r="D62" s="48"/>
      <c r="E62" s="48"/>
      <c r="F62" s="48"/>
      <c r="G62" s="49"/>
      <c r="H62" s="85"/>
      <c r="I62" s="48"/>
      <c r="J62" s="48">
        <v>1</v>
      </c>
      <c r="K62" s="48"/>
      <c r="L62" s="48">
        <v>1</v>
      </c>
      <c r="M62" s="48">
        <v>1</v>
      </c>
      <c r="N62" s="48"/>
      <c r="O62" s="48">
        <v>1</v>
      </c>
      <c r="P62" s="48"/>
      <c r="Q62" s="49"/>
      <c r="AQ62" s="124"/>
      <c r="AR62" s="124"/>
      <c r="AS62" s="124"/>
      <c r="AT62" s="124"/>
      <c r="AU62" s="124"/>
      <c r="AV62" s="124"/>
      <c r="AW62" s="124"/>
      <c r="AX62" s="48"/>
      <c r="AY62" s="104"/>
      <c r="AZ62" s="125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</row>
    <row r="63" spans="2:65" ht="15" customHeight="1" x14ac:dyDescent="0.25">
      <c r="B63" s="47">
        <v>1</v>
      </c>
      <c r="C63" s="47">
        <v>1</v>
      </c>
      <c r="D63" s="48"/>
      <c r="E63" s="48"/>
      <c r="F63" s="48"/>
      <c r="G63" s="49">
        <v>1</v>
      </c>
      <c r="H63" s="85">
        <v>1</v>
      </c>
      <c r="I63" s="48"/>
      <c r="J63" s="48">
        <v>1</v>
      </c>
      <c r="K63" s="48">
        <v>1</v>
      </c>
      <c r="L63" s="48">
        <v>1</v>
      </c>
      <c r="M63" s="48"/>
      <c r="N63" s="48"/>
      <c r="O63" s="48">
        <v>1</v>
      </c>
      <c r="P63" s="48"/>
      <c r="Q63" s="49"/>
      <c r="AQ63" s="124"/>
      <c r="AR63" s="124"/>
      <c r="AS63" s="124"/>
      <c r="AT63" s="124"/>
      <c r="AU63" s="124"/>
      <c r="AV63" s="124"/>
      <c r="AW63" s="124"/>
      <c r="AX63" s="48"/>
      <c r="AY63" s="104"/>
      <c r="AZ63" s="125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</row>
    <row r="64" spans="2:65" ht="15" customHeight="1" x14ac:dyDescent="0.25">
      <c r="B64" s="47">
        <v>1</v>
      </c>
      <c r="C64" s="47">
        <v>1</v>
      </c>
      <c r="D64" s="48"/>
      <c r="E64" s="48"/>
      <c r="F64" s="48">
        <v>1</v>
      </c>
      <c r="G64" s="49"/>
      <c r="H64" s="85"/>
      <c r="I64" s="48"/>
      <c r="J64" s="48">
        <v>1</v>
      </c>
      <c r="K64" s="48">
        <v>1</v>
      </c>
      <c r="L64" s="48">
        <v>1</v>
      </c>
      <c r="M64" s="48"/>
      <c r="N64" s="48"/>
      <c r="O64" s="48">
        <v>1</v>
      </c>
      <c r="P64" s="48"/>
      <c r="Q64" s="49">
        <v>1</v>
      </c>
      <c r="AQ64" s="124"/>
      <c r="AR64" s="124"/>
      <c r="AS64" s="124"/>
      <c r="AT64" s="124"/>
      <c r="AU64" s="124"/>
      <c r="AV64" s="124"/>
      <c r="AW64" s="124"/>
      <c r="AX64" s="48"/>
      <c r="AY64" s="104"/>
      <c r="AZ64" s="125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</row>
    <row r="65" spans="2:65" ht="15" customHeight="1" x14ac:dyDescent="0.25">
      <c r="B65" s="53">
        <v>1</v>
      </c>
      <c r="C65" s="53">
        <v>1</v>
      </c>
      <c r="D65" s="54"/>
      <c r="E65" s="54"/>
      <c r="F65" s="54">
        <v>1</v>
      </c>
      <c r="G65" s="55">
        <v>1</v>
      </c>
      <c r="H65" s="85">
        <v>1</v>
      </c>
      <c r="I65" s="48"/>
      <c r="J65" s="48">
        <v>1</v>
      </c>
      <c r="K65" s="48">
        <v>1</v>
      </c>
      <c r="L65" s="48">
        <v>1</v>
      </c>
      <c r="M65" s="48"/>
      <c r="N65" s="48"/>
      <c r="O65" s="48">
        <v>1</v>
      </c>
      <c r="P65" s="48"/>
      <c r="Q65" s="49">
        <v>1</v>
      </c>
      <c r="AQ65" s="124"/>
      <c r="AR65" s="124"/>
      <c r="AS65" s="124"/>
      <c r="AT65" s="124"/>
      <c r="AU65" s="124"/>
      <c r="AV65" s="124"/>
      <c r="AW65" s="124"/>
      <c r="AX65" s="48"/>
      <c r="AY65" s="104"/>
      <c r="AZ65" s="125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</row>
    <row r="66" spans="2:65" x14ac:dyDescent="0.25">
      <c r="B66" s="52">
        <v>1</v>
      </c>
      <c r="C66" s="52">
        <v>1</v>
      </c>
      <c r="D66" s="43"/>
      <c r="E66" s="43">
        <v>1</v>
      </c>
      <c r="F66" s="43"/>
      <c r="G66" s="44"/>
      <c r="H66" s="85"/>
      <c r="I66" s="48"/>
      <c r="J66" s="48">
        <v>1</v>
      </c>
      <c r="K66" s="114">
        <v>1</v>
      </c>
      <c r="L66" s="48">
        <v>1</v>
      </c>
      <c r="M66" s="48">
        <v>1</v>
      </c>
      <c r="N66" s="48"/>
      <c r="O66" s="48">
        <v>1</v>
      </c>
      <c r="P66" s="48"/>
      <c r="Q66" s="49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</row>
    <row r="67" spans="2:65" x14ac:dyDescent="0.25">
      <c r="B67" s="47">
        <v>1</v>
      </c>
      <c r="C67" s="47">
        <v>1</v>
      </c>
      <c r="D67" s="48"/>
      <c r="E67" s="48">
        <v>1</v>
      </c>
      <c r="F67" s="48"/>
      <c r="G67" s="49">
        <v>1</v>
      </c>
      <c r="H67" s="115">
        <v>1</v>
      </c>
      <c r="I67" s="48"/>
      <c r="J67" s="48">
        <v>1</v>
      </c>
      <c r="K67" s="114">
        <v>1</v>
      </c>
      <c r="L67" s="48">
        <v>1</v>
      </c>
      <c r="M67" s="48">
        <v>1</v>
      </c>
      <c r="N67" s="48"/>
      <c r="O67" s="48">
        <v>1</v>
      </c>
      <c r="P67" s="48"/>
      <c r="Q67" s="49"/>
    </row>
    <row r="68" spans="2:65" x14ac:dyDescent="0.25">
      <c r="B68" s="47">
        <v>1</v>
      </c>
      <c r="C68" s="47">
        <v>1</v>
      </c>
      <c r="D68" s="48"/>
      <c r="E68" s="48">
        <v>1</v>
      </c>
      <c r="F68" s="48">
        <v>1</v>
      </c>
      <c r="G68" s="49"/>
      <c r="H68" s="85"/>
      <c r="I68" s="48"/>
      <c r="J68" s="48">
        <v>1</v>
      </c>
      <c r="K68" s="48">
        <v>1</v>
      </c>
      <c r="L68" s="48">
        <v>1</v>
      </c>
      <c r="M68" s="48"/>
      <c r="N68" s="48"/>
      <c r="O68" s="48">
        <v>1</v>
      </c>
      <c r="P68" s="48"/>
      <c r="Q68" s="49">
        <v>1</v>
      </c>
    </row>
    <row r="69" spans="2:65" x14ac:dyDescent="0.25">
      <c r="B69" s="53">
        <v>1</v>
      </c>
      <c r="C69" s="53">
        <v>1</v>
      </c>
      <c r="D69" s="54"/>
      <c r="E69" s="54">
        <v>1</v>
      </c>
      <c r="F69" s="54">
        <v>1</v>
      </c>
      <c r="G69" s="55">
        <v>1</v>
      </c>
      <c r="H69" s="85">
        <v>1</v>
      </c>
      <c r="I69" s="48"/>
      <c r="J69" s="48">
        <v>1</v>
      </c>
      <c r="K69" s="48">
        <v>1</v>
      </c>
      <c r="L69" s="48">
        <v>1</v>
      </c>
      <c r="M69" s="48"/>
      <c r="N69" s="48"/>
      <c r="O69" s="48">
        <v>1</v>
      </c>
      <c r="P69" s="48"/>
      <c r="Q69" s="49">
        <v>1</v>
      </c>
    </row>
    <row r="70" spans="2:65" x14ac:dyDescent="0.25">
      <c r="B70" s="52">
        <v>1</v>
      </c>
      <c r="C70" s="52">
        <v>1</v>
      </c>
      <c r="D70" s="92">
        <v>1</v>
      </c>
      <c r="E70" s="43"/>
      <c r="F70" s="43"/>
      <c r="G70" s="44"/>
      <c r="H70" s="85"/>
      <c r="I70" s="48"/>
      <c r="J70" s="48">
        <v>1</v>
      </c>
      <c r="K70" s="48">
        <v>1</v>
      </c>
      <c r="L70" s="48">
        <v>1</v>
      </c>
      <c r="M70" s="48"/>
      <c r="N70" s="48"/>
      <c r="O70" s="48">
        <v>1</v>
      </c>
      <c r="P70" s="48"/>
      <c r="Q70" s="49"/>
    </row>
    <row r="71" spans="2:65" x14ac:dyDescent="0.25">
      <c r="B71" s="47">
        <v>1</v>
      </c>
      <c r="C71" s="47">
        <v>1</v>
      </c>
      <c r="D71" s="69">
        <v>1</v>
      </c>
      <c r="E71" s="48"/>
      <c r="F71" s="48"/>
      <c r="G71" s="49">
        <v>1</v>
      </c>
      <c r="H71" s="85">
        <v>1</v>
      </c>
      <c r="I71" s="48"/>
      <c r="J71" s="48">
        <v>1</v>
      </c>
      <c r="K71" s="48">
        <v>1</v>
      </c>
      <c r="L71" s="48">
        <v>1</v>
      </c>
      <c r="M71" s="48"/>
      <c r="N71" s="48"/>
      <c r="O71" s="48">
        <v>1</v>
      </c>
      <c r="P71" s="48"/>
      <c r="Q71" s="49"/>
    </row>
    <row r="72" spans="2:65" x14ac:dyDescent="0.25">
      <c r="B72" s="52">
        <v>1</v>
      </c>
      <c r="C72" s="52">
        <v>1</v>
      </c>
      <c r="D72" s="92">
        <v>1</v>
      </c>
      <c r="E72" s="43"/>
      <c r="F72" s="92">
        <v>1</v>
      </c>
      <c r="G72" s="44"/>
      <c r="H72" s="87"/>
      <c r="I72" s="43"/>
      <c r="J72" s="43">
        <v>1</v>
      </c>
      <c r="K72" s="43">
        <v>1</v>
      </c>
      <c r="L72" s="43">
        <v>1</v>
      </c>
      <c r="M72" s="43"/>
      <c r="N72" s="43"/>
      <c r="O72" s="78">
        <v>1</v>
      </c>
      <c r="P72" s="43"/>
      <c r="Q72" s="119">
        <v>1</v>
      </c>
    </row>
    <row r="73" spans="2:65" x14ac:dyDescent="0.25">
      <c r="B73" s="53">
        <v>1</v>
      </c>
      <c r="C73" s="53">
        <v>1</v>
      </c>
      <c r="D73" s="70">
        <v>1</v>
      </c>
      <c r="E73" s="54"/>
      <c r="F73" s="70">
        <v>1</v>
      </c>
      <c r="G73" s="55">
        <v>1</v>
      </c>
      <c r="H73" s="88">
        <v>1</v>
      </c>
      <c r="I73" s="54"/>
      <c r="J73" s="54">
        <v>1</v>
      </c>
      <c r="K73" s="54">
        <v>1</v>
      </c>
      <c r="L73" s="54">
        <v>1</v>
      </c>
      <c r="M73" s="54"/>
      <c r="N73" s="54"/>
      <c r="O73" s="118">
        <v>1</v>
      </c>
      <c r="P73" s="54"/>
      <c r="Q73" s="120">
        <v>1</v>
      </c>
    </row>
    <row r="74" spans="2:65" x14ac:dyDescent="0.25">
      <c r="B74" s="47">
        <v>1</v>
      </c>
      <c r="C74" s="47">
        <v>1</v>
      </c>
      <c r="D74" s="69">
        <v>1</v>
      </c>
      <c r="E74" s="48">
        <v>1</v>
      </c>
      <c r="F74" s="48"/>
      <c r="G74" s="48"/>
      <c r="H74" s="85"/>
      <c r="I74" s="48">
        <v>1</v>
      </c>
      <c r="J74" s="48"/>
      <c r="K74" s="48">
        <v>1</v>
      </c>
      <c r="L74" s="114">
        <v>1</v>
      </c>
      <c r="M74" s="48"/>
      <c r="N74" s="48"/>
      <c r="O74" s="48">
        <v>1</v>
      </c>
      <c r="P74" s="48"/>
      <c r="Q74" s="49"/>
    </row>
    <row r="75" spans="2:65" x14ac:dyDescent="0.25">
      <c r="B75" s="47">
        <v>1</v>
      </c>
      <c r="C75" s="47">
        <v>1</v>
      </c>
      <c r="D75" s="69">
        <v>1</v>
      </c>
      <c r="E75" s="48">
        <v>1</v>
      </c>
      <c r="F75" s="48"/>
      <c r="G75" s="48">
        <v>1</v>
      </c>
      <c r="H75" s="115">
        <v>1</v>
      </c>
      <c r="I75" s="48">
        <v>1</v>
      </c>
      <c r="J75" s="48"/>
      <c r="K75" s="48">
        <v>1</v>
      </c>
      <c r="L75" s="114">
        <v>1</v>
      </c>
      <c r="M75" s="48"/>
      <c r="N75" s="48">
        <v>1</v>
      </c>
      <c r="O75" s="48">
        <v>1</v>
      </c>
      <c r="P75" s="48"/>
      <c r="Q75" s="49"/>
    </row>
    <row r="76" spans="2:65" x14ac:dyDescent="0.25">
      <c r="B76" s="52">
        <v>1</v>
      </c>
      <c r="C76" s="52">
        <v>1</v>
      </c>
      <c r="D76" s="92">
        <v>1</v>
      </c>
      <c r="E76" s="43">
        <v>1</v>
      </c>
      <c r="F76" s="92">
        <v>1</v>
      </c>
      <c r="G76" s="43"/>
      <c r="H76" s="87"/>
      <c r="I76" s="43"/>
      <c r="J76" s="43">
        <v>1</v>
      </c>
      <c r="K76" s="43">
        <v>1</v>
      </c>
      <c r="L76" s="117">
        <v>1</v>
      </c>
      <c r="M76" s="43">
        <v>1</v>
      </c>
      <c r="N76" s="43"/>
      <c r="O76" s="78">
        <v>1</v>
      </c>
      <c r="P76" s="43"/>
      <c r="Q76" s="119">
        <v>1</v>
      </c>
    </row>
    <row r="77" spans="2:65" x14ac:dyDescent="0.25">
      <c r="B77" s="53">
        <v>1</v>
      </c>
      <c r="C77" s="53">
        <v>1</v>
      </c>
      <c r="D77" s="70">
        <v>1</v>
      </c>
      <c r="E77" s="54">
        <v>1</v>
      </c>
      <c r="F77" s="70">
        <v>1</v>
      </c>
      <c r="G77" s="64">
        <v>1</v>
      </c>
      <c r="H77" s="88">
        <v>1</v>
      </c>
      <c r="I77" s="54"/>
      <c r="J77" s="54">
        <v>1</v>
      </c>
      <c r="K77" s="54">
        <v>1</v>
      </c>
      <c r="L77" s="118">
        <v>1</v>
      </c>
      <c r="M77" s="54">
        <v>1</v>
      </c>
      <c r="N77" s="54"/>
      <c r="O77" s="118">
        <v>1</v>
      </c>
      <c r="P77" s="54"/>
      <c r="Q77" s="120">
        <v>1</v>
      </c>
    </row>
  </sheetData>
  <sortState ref="AP35:AS44">
    <sortCondition ref="AQ35:AQ44"/>
  </sortState>
  <mergeCells count="75">
    <mergeCell ref="AQ4:AR4"/>
    <mergeCell ref="AU3:BI3"/>
    <mergeCell ref="AP3:AS3"/>
    <mergeCell ref="BJ4:BK4"/>
    <mergeCell ref="BJ5:BK5"/>
    <mergeCell ref="V45:Y45"/>
    <mergeCell ref="AG45:AJ45"/>
    <mergeCell ref="X46:AA46"/>
    <mergeCell ref="AI46:AL46"/>
    <mergeCell ref="V37:Y37"/>
    <mergeCell ref="AG37:AJ37"/>
    <mergeCell ref="X38:AA38"/>
    <mergeCell ref="AI38:AL38"/>
    <mergeCell ref="U40:V40"/>
    <mergeCell ref="Y40:Z40"/>
    <mergeCell ref="AF40:AG40"/>
    <mergeCell ref="AJ40:AK40"/>
    <mergeCell ref="V29:Y29"/>
    <mergeCell ref="AG29:AJ29"/>
    <mergeCell ref="X30:AA30"/>
    <mergeCell ref="AI30:AL30"/>
    <mergeCell ref="U32:V32"/>
    <mergeCell ref="Y32:Z32"/>
    <mergeCell ref="AF32:AG32"/>
    <mergeCell ref="AJ32:AK32"/>
    <mergeCell ref="U16:V16"/>
    <mergeCell ref="Y16:Z16"/>
    <mergeCell ref="AF16:AG16"/>
    <mergeCell ref="AJ16:AK16"/>
    <mergeCell ref="V21:Y21"/>
    <mergeCell ref="AG21:AJ21"/>
    <mergeCell ref="AD10:AD11"/>
    <mergeCell ref="AB11:AB12"/>
    <mergeCell ref="X14:AA14"/>
    <mergeCell ref="AI14:AL14"/>
    <mergeCell ref="V13:Y13"/>
    <mergeCell ref="AG13:AJ13"/>
    <mergeCell ref="AM43:AM44"/>
    <mergeCell ref="S34:S35"/>
    <mergeCell ref="AD34:AD35"/>
    <mergeCell ref="AB35:AB36"/>
    <mergeCell ref="AM35:AM36"/>
    <mergeCell ref="S42:S43"/>
    <mergeCell ref="AD42:AD43"/>
    <mergeCell ref="AB43:AB44"/>
    <mergeCell ref="AM27:AM28"/>
    <mergeCell ref="S18:S19"/>
    <mergeCell ref="AD18:AD19"/>
    <mergeCell ref="AB19:AB20"/>
    <mergeCell ref="AM19:AM20"/>
    <mergeCell ref="S26:S27"/>
    <mergeCell ref="AD26:AD27"/>
    <mergeCell ref="AB27:AB28"/>
    <mergeCell ref="X22:AA22"/>
    <mergeCell ref="AI22:AL22"/>
    <mergeCell ref="U24:V24"/>
    <mergeCell ref="Y24:Z24"/>
    <mergeCell ref="AF24:AG24"/>
    <mergeCell ref="AJ24:AK24"/>
    <mergeCell ref="AM11:AM12"/>
    <mergeCell ref="S10:S11"/>
    <mergeCell ref="H2:H9"/>
    <mergeCell ref="I2:I9"/>
    <mergeCell ref="J2:J9"/>
    <mergeCell ref="K2:K9"/>
    <mergeCell ref="L2:L9"/>
    <mergeCell ref="M2:M9"/>
    <mergeCell ref="N2:N9"/>
    <mergeCell ref="O2:O9"/>
    <mergeCell ref="P2:P9"/>
    <mergeCell ref="Q2:Q9"/>
    <mergeCell ref="U8:V8"/>
    <mergeCell ref="Y8:Z8"/>
    <mergeCell ref="AF8:AG8"/>
    <mergeCell ref="AJ8:AK8"/>
  </mergeCells>
  <conditionalFormatting sqref="T25:AA28">
    <cfRule type="cellIs" dxfId="19" priority="10" operator="greaterThan">
      <formula>0</formula>
    </cfRule>
  </conditionalFormatting>
  <conditionalFormatting sqref="T9:AA12">
    <cfRule type="cellIs" dxfId="18" priority="9" operator="greaterThan">
      <formula>0</formula>
    </cfRule>
  </conditionalFormatting>
  <conditionalFormatting sqref="T17:AA20">
    <cfRule type="cellIs" dxfId="17" priority="8" operator="greaterThan">
      <formula>0</formula>
    </cfRule>
  </conditionalFormatting>
  <conditionalFormatting sqref="T33:AA36">
    <cfRule type="cellIs" dxfId="16" priority="7" operator="greaterThan">
      <formula>0</formula>
    </cfRule>
  </conditionalFormatting>
  <conditionalFormatting sqref="T41:AA44">
    <cfRule type="cellIs" dxfId="15" priority="6" operator="greaterThan">
      <formula>0</formula>
    </cfRule>
  </conditionalFormatting>
  <conditionalFormatting sqref="AE9:AL12">
    <cfRule type="cellIs" dxfId="14" priority="5" operator="greaterThan">
      <formula>0</formula>
    </cfRule>
  </conditionalFormatting>
  <conditionalFormatting sqref="AE17:AL20">
    <cfRule type="cellIs" dxfId="13" priority="4" operator="greaterThan">
      <formula>0</formula>
    </cfRule>
  </conditionalFormatting>
  <conditionalFormatting sqref="AE25:AL28">
    <cfRule type="cellIs" dxfId="12" priority="3" operator="greaterThan">
      <formula>0</formula>
    </cfRule>
  </conditionalFormatting>
  <conditionalFormatting sqref="AE33:AL36">
    <cfRule type="cellIs" dxfId="11" priority="2" operator="greaterThan">
      <formula>0</formula>
    </cfRule>
  </conditionalFormatting>
  <conditionalFormatting sqref="AE41:AL44">
    <cfRule type="cellIs" dxfId="1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49"/>
  <sheetViews>
    <sheetView topLeftCell="E2" workbookViewId="0">
      <selection activeCell="N47" sqref="N47"/>
    </sheetView>
  </sheetViews>
  <sheetFormatPr baseColWidth="10" defaultRowHeight="15" x14ac:dyDescent="0.25"/>
  <cols>
    <col min="1" max="1" width="11.42578125" customWidth="1"/>
    <col min="2" max="2" width="7.85546875" bestFit="1" customWidth="1"/>
    <col min="3" max="3" width="9.85546875" bestFit="1" customWidth="1"/>
    <col min="4" max="4" width="4.140625" bestFit="1" customWidth="1"/>
    <col min="5" max="5" width="9.85546875" bestFit="1" customWidth="1"/>
    <col min="6" max="6" width="6.85546875" style="24" customWidth="1"/>
    <col min="7" max="7" width="10.140625" style="24" customWidth="1"/>
    <col min="8" max="8" width="13.140625" style="144" customWidth="1"/>
    <col min="9" max="42" width="7" customWidth="1"/>
  </cols>
  <sheetData>
    <row r="2" spans="2:42" x14ac:dyDescent="0.25">
      <c r="B2" t="s">
        <v>83</v>
      </c>
    </row>
    <row r="3" spans="2:42" x14ac:dyDescent="0.25">
      <c r="B3" t="s">
        <v>84</v>
      </c>
    </row>
    <row r="4" spans="2:42" x14ac:dyDescent="0.25">
      <c r="B4" s="129" t="s">
        <v>93</v>
      </c>
      <c r="C4" s="130" t="s">
        <v>84</v>
      </c>
      <c r="D4" s="130" t="s">
        <v>85</v>
      </c>
      <c r="E4" s="131" t="s">
        <v>86</v>
      </c>
      <c r="F4" s="48"/>
      <c r="G4" s="48"/>
      <c r="H4" s="146" t="s">
        <v>96</v>
      </c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</row>
    <row r="5" spans="2:42" x14ac:dyDescent="0.25">
      <c r="B5" s="128" t="s">
        <v>88</v>
      </c>
      <c r="C5" s="128" t="s">
        <v>87</v>
      </c>
      <c r="D5" s="128" t="s">
        <v>87</v>
      </c>
      <c r="E5" s="128" t="s">
        <v>89</v>
      </c>
      <c r="F5" s="135"/>
      <c r="G5" s="135"/>
      <c r="H5" s="145" t="s">
        <v>111</v>
      </c>
    </row>
    <row r="6" spans="2:42" x14ac:dyDescent="0.25">
      <c r="B6" s="128" t="s">
        <v>87</v>
      </c>
      <c r="C6" s="128" t="s">
        <v>87</v>
      </c>
      <c r="D6" s="128" t="s">
        <v>88</v>
      </c>
      <c r="E6" s="128" t="s">
        <v>89</v>
      </c>
      <c r="F6" s="135"/>
      <c r="G6" s="135"/>
    </row>
    <row r="7" spans="2:42" x14ac:dyDescent="0.25">
      <c r="B7" s="128" t="s">
        <v>89</v>
      </c>
      <c r="C7" s="128" t="s">
        <v>88</v>
      </c>
      <c r="D7" s="128" t="s">
        <v>90</v>
      </c>
      <c r="E7" s="128" t="s">
        <v>91</v>
      </c>
      <c r="F7" s="135"/>
      <c r="G7" s="135"/>
      <c r="I7" s="140"/>
      <c r="J7" s="140"/>
      <c r="N7" s="140"/>
      <c r="O7" s="140"/>
      <c r="P7" s="140"/>
      <c r="Q7" s="140"/>
      <c r="R7" s="140"/>
      <c r="V7" s="140"/>
      <c r="W7" s="140"/>
      <c r="X7" s="140"/>
      <c r="Y7" s="140"/>
      <c r="Z7" s="140"/>
      <c r="AD7" s="140"/>
      <c r="AE7" s="140"/>
      <c r="AF7" s="140"/>
      <c r="AG7" s="140"/>
      <c r="AH7" s="140"/>
      <c r="AL7" s="140"/>
      <c r="AM7" s="140"/>
      <c r="AN7" s="140"/>
      <c r="AO7" s="140"/>
      <c r="AP7" s="140"/>
    </row>
    <row r="8" spans="2:42" x14ac:dyDescent="0.25">
      <c r="B8" s="128" t="s">
        <v>90</v>
      </c>
      <c r="C8" s="128" t="s">
        <v>88</v>
      </c>
      <c r="D8" s="128" t="s">
        <v>89</v>
      </c>
      <c r="E8" s="128" t="s">
        <v>91</v>
      </c>
      <c r="F8" s="135"/>
      <c r="G8" s="134"/>
      <c r="H8" s="145" t="s">
        <v>98</v>
      </c>
      <c r="K8" s="141"/>
      <c r="L8" s="23"/>
      <c r="M8" s="142"/>
      <c r="S8" s="141"/>
      <c r="T8" s="23"/>
      <c r="U8" s="142"/>
      <c r="AA8" s="141"/>
      <c r="AB8" s="23"/>
      <c r="AC8" s="142"/>
      <c r="AI8" s="141"/>
      <c r="AJ8" s="23"/>
      <c r="AK8" s="142"/>
    </row>
    <row r="9" spans="2:42" x14ac:dyDescent="0.25">
      <c r="H9" s="145" t="s">
        <v>115</v>
      </c>
      <c r="K9" s="57"/>
      <c r="L9" s="140"/>
      <c r="M9" s="141"/>
      <c r="S9" s="57"/>
      <c r="T9" s="140"/>
      <c r="U9" s="141"/>
      <c r="AA9" s="57"/>
      <c r="AB9" s="140"/>
      <c r="AC9" s="141"/>
      <c r="AI9" s="57"/>
      <c r="AJ9" s="140"/>
      <c r="AK9" s="141"/>
    </row>
    <row r="10" spans="2:42" x14ac:dyDescent="0.25">
      <c r="G10" s="134"/>
    </row>
    <row r="11" spans="2:42" x14ac:dyDescent="0.25">
      <c r="B11" s="136" t="s">
        <v>93</v>
      </c>
      <c r="C11" s="137" t="s">
        <v>84</v>
      </c>
      <c r="D11" s="137" t="s">
        <v>85</v>
      </c>
      <c r="E11" s="138" t="s">
        <v>86</v>
      </c>
      <c r="F11" s="48"/>
      <c r="G11" s="48"/>
      <c r="N11" s="140"/>
      <c r="V11" s="140"/>
      <c r="AD11" s="140"/>
      <c r="AL11" s="140"/>
    </row>
    <row r="12" spans="2:42" x14ac:dyDescent="0.25">
      <c r="B12" s="132" t="s">
        <v>87</v>
      </c>
      <c r="C12" s="132" t="s">
        <v>89</v>
      </c>
      <c r="D12" s="132" t="s">
        <v>87</v>
      </c>
      <c r="E12" s="132" t="s">
        <v>89</v>
      </c>
      <c r="F12" s="134"/>
      <c r="H12" s="146" t="s">
        <v>97</v>
      </c>
      <c r="I12" s="143"/>
      <c r="J12" s="143"/>
      <c r="K12" s="143"/>
      <c r="L12" s="143"/>
      <c r="M12" s="143"/>
      <c r="O12" s="141"/>
      <c r="P12" s="23"/>
      <c r="Q12" s="142"/>
      <c r="R12" s="143"/>
      <c r="S12" s="143"/>
      <c r="T12" s="143"/>
      <c r="U12" s="143"/>
      <c r="W12" s="141"/>
      <c r="X12" s="23"/>
      <c r="Y12" s="142"/>
      <c r="Z12" s="143"/>
      <c r="AA12" s="143"/>
      <c r="AB12" s="143"/>
      <c r="AC12" s="143"/>
      <c r="AE12" s="141"/>
      <c r="AF12" s="23"/>
      <c r="AG12" s="142"/>
      <c r="AH12" s="143"/>
      <c r="AI12" s="143"/>
      <c r="AJ12" s="143"/>
      <c r="AK12" s="143"/>
      <c r="AM12" s="141"/>
      <c r="AN12" s="23"/>
      <c r="AO12" s="142"/>
      <c r="AP12" s="143"/>
    </row>
    <row r="13" spans="2:42" x14ac:dyDescent="0.25">
      <c r="B13" s="132" t="s">
        <v>89</v>
      </c>
      <c r="C13" s="132" t="s">
        <v>92</v>
      </c>
      <c r="D13" s="132" t="s">
        <v>89</v>
      </c>
      <c r="E13" s="132" t="s">
        <v>94</v>
      </c>
      <c r="F13" s="134"/>
      <c r="H13" s="145" t="s">
        <v>111</v>
      </c>
      <c r="O13" s="57"/>
      <c r="P13" s="140"/>
      <c r="Q13" s="141"/>
      <c r="W13" s="57"/>
      <c r="X13" s="140"/>
      <c r="Y13" s="141"/>
      <c r="Z13" s="23"/>
      <c r="AA13" s="23"/>
      <c r="AB13" s="23"/>
      <c r="AC13" s="23"/>
      <c r="AE13" s="57"/>
      <c r="AF13" s="140"/>
      <c r="AG13" s="141"/>
      <c r="AM13" s="57"/>
      <c r="AN13" s="140"/>
      <c r="AO13" s="141"/>
    </row>
    <row r="15" spans="2:42" x14ac:dyDescent="0.25">
      <c r="C15" s="132" t="s">
        <v>95</v>
      </c>
      <c r="E15" s="132" t="s">
        <v>94</v>
      </c>
      <c r="F15" s="134"/>
      <c r="G15" s="48"/>
    </row>
    <row r="16" spans="2:42" x14ac:dyDescent="0.25">
      <c r="C16" s="132" t="s">
        <v>89</v>
      </c>
      <c r="E16" s="139" t="s">
        <v>89</v>
      </c>
      <c r="F16" s="48"/>
      <c r="G16" s="135"/>
      <c r="H16" s="145" t="s">
        <v>99</v>
      </c>
      <c r="K16" s="142"/>
      <c r="L16" s="147"/>
      <c r="O16" s="142"/>
      <c r="P16" s="147"/>
      <c r="S16" s="142"/>
      <c r="T16" s="147"/>
      <c r="W16" s="142"/>
      <c r="X16" s="147"/>
      <c r="AA16" s="142"/>
      <c r="AB16" s="147"/>
      <c r="AE16" s="142"/>
      <c r="AF16" s="147"/>
      <c r="AI16" s="142"/>
      <c r="AJ16" s="147"/>
      <c r="AM16" s="142"/>
      <c r="AN16" s="147"/>
    </row>
    <row r="17" spans="2:42" x14ac:dyDescent="0.25">
      <c r="G17" s="135"/>
      <c r="I17" s="140"/>
      <c r="J17" s="140"/>
      <c r="K17" s="141"/>
      <c r="L17" s="148"/>
      <c r="M17" s="140"/>
      <c r="N17" s="140"/>
      <c r="O17" s="141"/>
      <c r="P17" s="148"/>
      <c r="Q17" s="140"/>
      <c r="R17" s="140"/>
      <c r="S17" s="141"/>
      <c r="T17" s="148"/>
      <c r="U17" s="140"/>
      <c r="V17" s="140"/>
      <c r="W17" s="141"/>
      <c r="X17" s="148"/>
      <c r="Y17" s="140"/>
      <c r="Z17" s="140"/>
      <c r="AA17" s="141"/>
      <c r="AB17" s="148"/>
      <c r="AC17" s="140"/>
      <c r="AD17" s="140"/>
      <c r="AE17" s="141"/>
      <c r="AF17" s="148"/>
      <c r="AG17" s="140"/>
      <c r="AH17" s="140"/>
      <c r="AI17" s="141"/>
      <c r="AJ17" s="148"/>
      <c r="AK17" s="140"/>
      <c r="AL17" s="140"/>
      <c r="AM17" s="141"/>
      <c r="AN17" s="148"/>
      <c r="AO17" s="140"/>
      <c r="AP17" s="140"/>
    </row>
    <row r="19" spans="2:42" x14ac:dyDescent="0.25">
      <c r="B19" t="s">
        <v>85</v>
      </c>
    </row>
    <row r="20" spans="2:42" x14ac:dyDescent="0.25">
      <c r="B20" s="129" t="s">
        <v>93</v>
      </c>
      <c r="C20" s="130" t="s">
        <v>84</v>
      </c>
      <c r="D20" s="130" t="s">
        <v>85</v>
      </c>
      <c r="E20" s="131" t="s">
        <v>86</v>
      </c>
      <c r="F20" s="48"/>
      <c r="G20" s="48"/>
    </row>
    <row r="21" spans="2:42" x14ac:dyDescent="0.25">
      <c r="B21" s="128" t="s">
        <v>88</v>
      </c>
      <c r="C21" s="128" t="s">
        <v>87</v>
      </c>
      <c r="D21" s="128" t="s">
        <v>87</v>
      </c>
      <c r="E21" s="128" t="s">
        <v>89</v>
      </c>
      <c r="F21" s="135"/>
      <c r="G21" s="134"/>
      <c r="H21" s="145" t="s">
        <v>100</v>
      </c>
      <c r="K21" s="142"/>
      <c r="L21" s="147"/>
      <c r="S21" s="142"/>
      <c r="T21" s="147"/>
      <c r="AA21" s="142"/>
      <c r="AB21" s="147"/>
      <c r="AI21" s="142"/>
      <c r="AJ21" s="147"/>
    </row>
    <row r="22" spans="2:42" x14ac:dyDescent="0.25">
      <c r="B22" s="128" t="s">
        <v>90</v>
      </c>
      <c r="C22" s="128" t="s">
        <v>88</v>
      </c>
      <c r="D22" s="128" t="s">
        <v>89</v>
      </c>
      <c r="E22" s="128" t="s">
        <v>91</v>
      </c>
      <c r="F22" s="135"/>
      <c r="G22" s="134"/>
      <c r="I22" s="140"/>
      <c r="J22" s="140"/>
      <c r="K22" s="141"/>
      <c r="L22" s="148"/>
      <c r="M22" s="140"/>
      <c r="Q22" s="140"/>
      <c r="R22" s="140"/>
      <c r="S22" s="141"/>
      <c r="T22" s="148"/>
      <c r="U22" s="140"/>
      <c r="Y22" s="140"/>
      <c r="Z22" s="140"/>
      <c r="AA22" s="141"/>
      <c r="AB22" s="148"/>
      <c r="AC22" s="140"/>
      <c r="AG22" s="140"/>
      <c r="AH22" s="140"/>
      <c r="AI22" s="141"/>
      <c r="AJ22" s="148"/>
      <c r="AK22" s="140"/>
      <c r="AO22" s="140"/>
      <c r="AP22" s="140"/>
    </row>
    <row r="23" spans="2:42" x14ac:dyDescent="0.25">
      <c r="G23" s="134"/>
      <c r="N23" s="143"/>
      <c r="O23" s="143"/>
      <c r="P23" s="143"/>
      <c r="V23" s="143"/>
      <c r="W23" s="143"/>
      <c r="X23" s="143"/>
      <c r="AD23" s="143"/>
      <c r="AE23" s="143"/>
      <c r="AF23" s="143"/>
      <c r="AL23" s="143"/>
      <c r="AM23" s="143"/>
      <c r="AN23" s="143"/>
    </row>
    <row r="24" spans="2:42" x14ac:dyDescent="0.25">
      <c r="G24" s="134"/>
    </row>
    <row r="25" spans="2:42" x14ac:dyDescent="0.25">
      <c r="B25" s="129" t="s">
        <v>93</v>
      </c>
      <c r="C25" s="130" t="s">
        <v>84</v>
      </c>
      <c r="D25" s="130" t="s">
        <v>85</v>
      </c>
      <c r="E25" s="131" t="s">
        <v>86</v>
      </c>
      <c r="F25" s="48"/>
      <c r="I25" s="140"/>
      <c r="J25" s="140"/>
      <c r="O25" s="140"/>
      <c r="P25" s="140"/>
      <c r="Q25" s="140"/>
      <c r="R25" s="140"/>
      <c r="W25" s="140"/>
      <c r="X25" s="140"/>
      <c r="Y25" s="140"/>
      <c r="Z25" s="140"/>
      <c r="AE25" s="140"/>
      <c r="AF25" s="140"/>
      <c r="AG25" s="140"/>
      <c r="AH25" s="140"/>
      <c r="AM25" s="140"/>
      <c r="AN25" s="140"/>
      <c r="AO25" s="140"/>
      <c r="AP25" s="140"/>
    </row>
    <row r="26" spans="2:42" x14ac:dyDescent="0.25">
      <c r="B26" s="132" t="s">
        <v>87</v>
      </c>
      <c r="C26" s="132" t="s">
        <v>89</v>
      </c>
      <c r="D26" s="132" t="s">
        <v>87</v>
      </c>
      <c r="E26" s="132" t="s">
        <v>89</v>
      </c>
      <c r="F26" s="134"/>
      <c r="H26" s="145" t="s">
        <v>101</v>
      </c>
      <c r="K26" s="141"/>
      <c r="L26" s="23"/>
      <c r="M26" s="23"/>
      <c r="N26" s="23"/>
      <c r="O26" s="142"/>
      <c r="S26" s="141"/>
      <c r="W26" s="142"/>
      <c r="AA26" s="141"/>
      <c r="AE26" s="142"/>
      <c r="AI26" s="141"/>
      <c r="AM26" s="142"/>
    </row>
    <row r="27" spans="2:42" x14ac:dyDescent="0.25">
      <c r="B27" s="132" t="s">
        <v>87</v>
      </c>
      <c r="C27" s="132" t="s">
        <v>87</v>
      </c>
      <c r="D27" s="132" t="s">
        <v>88</v>
      </c>
      <c r="E27" s="132" t="s">
        <v>89</v>
      </c>
      <c r="F27" s="134"/>
      <c r="H27" s="145" t="s">
        <v>116</v>
      </c>
      <c r="K27" s="57"/>
      <c r="L27" s="140"/>
      <c r="M27" s="140"/>
      <c r="N27" s="140"/>
      <c r="O27" s="141"/>
      <c r="S27" s="57"/>
      <c r="T27" s="140"/>
      <c r="U27" s="140"/>
      <c r="V27" s="140"/>
      <c r="W27" s="141"/>
      <c r="AA27" s="57"/>
      <c r="AB27" s="140"/>
      <c r="AC27" s="140"/>
      <c r="AD27" s="140"/>
      <c r="AE27" s="141"/>
      <c r="AI27" s="57"/>
      <c r="AJ27" s="140"/>
      <c r="AK27" s="140"/>
      <c r="AL27" s="140"/>
      <c r="AM27" s="141"/>
    </row>
    <row r="28" spans="2:42" x14ac:dyDescent="0.25">
      <c r="B28" s="132" t="s">
        <v>89</v>
      </c>
      <c r="C28" s="132" t="s">
        <v>88</v>
      </c>
      <c r="D28" s="132" t="s">
        <v>90</v>
      </c>
      <c r="E28" s="132" t="s">
        <v>91</v>
      </c>
      <c r="F28" s="134"/>
    </row>
    <row r="29" spans="2:42" x14ac:dyDescent="0.25">
      <c r="B29" s="132" t="s">
        <v>89</v>
      </c>
      <c r="C29" s="132" t="s">
        <v>92</v>
      </c>
      <c r="D29" s="132" t="s">
        <v>89</v>
      </c>
      <c r="E29" s="132" t="s">
        <v>91</v>
      </c>
      <c r="F29" s="134"/>
    </row>
    <row r="34" spans="2:20" x14ac:dyDescent="0.25">
      <c r="B34" t="s">
        <v>102</v>
      </c>
    </row>
    <row r="36" spans="2:20" x14ac:dyDescent="0.25">
      <c r="B36" s="129" t="s">
        <v>103</v>
      </c>
      <c r="C36" s="130" t="s">
        <v>104</v>
      </c>
      <c r="D36" s="130" t="s">
        <v>105</v>
      </c>
      <c r="E36" s="130" t="s">
        <v>106</v>
      </c>
      <c r="F36" s="133" t="s">
        <v>86</v>
      </c>
    </row>
    <row r="37" spans="2:20" x14ac:dyDescent="0.25">
      <c r="B37" s="127" t="s">
        <v>88</v>
      </c>
      <c r="C37" s="127" t="s">
        <v>89</v>
      </c>
      <c r="D37" s="127" t="s">
        <v>87</v>
      </c>
      <c r="E37" s="127" t="s">
        <v>87</v>
      </c>
      <c r="F37" s="134" t="s">
        <v>88</v>
      </c>
      <c r="H37" s="149" t="s">
        <v>109</v>
      </c>
    </row>
    <row r="38" spans="2:20" x14ac:dyDescent="0.25">
      <c r="B38" s="127" t="s">
        <v>89</v>
      </c>
      <c r="C38" s="127" t="s">
        <v>88</v>
      </c>
      <c r="D38" s="127" t="s">
        <v>87</v>
      </c>
      <c r="E38" s="127" t="s">
        <v>87</v>
      </c>
      <c r="F38" s="134" t="s">
        <v>89</v>
      </c>
      <c r="H38" s="149" t="s">
        <v>108</v>
      </c>
    </row>
    <row r="39" spans="2:20" x14ac:dyDescent="0.25">
      <c r="B39" s="127" t="s">
        <v>88</v>
      </c>
      <c r="C39" s="127" t="s">
        <v>88</v>
      </c>
      <c r="D39" s="127" t="s">
        <v>87</v>
      </c>
      <c r="E39" s="127" t="s">
        <v>87</v>
      </c>
      <c r="F39" s="48" t="s">
        <v>89</v>
      </c>
    </row>
    <row r="40" spans="2:20" x14ac:dyDescent="0.25">
      <c r="B40" s="132" t="s">
        <v>89</v>
      </c>
      <c r="C40" s="132" t="s">
        <v>89</v>
      </c>
      <c r="D40" s="132" t="s">
        <v>90</v>
      </c>
      <c r="E40" s="132" t="s">
        <v>89</v>
      </c>
      <c r="F40" s="139" t="s">
        <v>88</v>
      </c>
      <c r="H40" s="144" t="s">
        <v>110</v>
      </c>
      <c r="P40" s="129" t="s">
        <v>119</v>
      </c>
      <c r="Q40" s="130" t="s">
        <v>120</v>
      </c>
      <c r="R40" s="131" t="s">
        <v>33</v>
      </c>
      <c r="S40" s="150" t="s">
        <v>121</v>
      </c>
      <c r="T40" s="127"/>
    </row>
    <row r="41" spans="2:20" x14ac:dyDescent="0.25">
      <c r="B41" s="132" t="s">
        <v>89</v>
      </c>
      <c r="C41" s="132" t="s">
        <v>89</v>
      </c>
      <c r="D41" s="132" t="s">
        <v>90</v>
      </c>
      <c r="E41" s="132" t="s">
        <v>88</v>
      </c>
      <c r="F41" s="139" t="s">
        <v>89</v>
      </c>
      <c r="H41" s="149" t="s">
        <v>118</v>
      </c>
      <c r="P41" s="151">
        <v>0</v>
      </c>
      <c r="Q41" s="152">
        <v>0</v>
      </c>
      <c r="R41" s="152">
        <v>0</v>
      </c>
      <c r="S41" s="59" t="s">
        <v>123</v>
      </c>
      <c r="T41" s="127"/>
    </row>
    <row r="42" spans="2:20" x14ac:dyDescent="0.25">
      <c r="B42" s="132" t="s">
        <v>89</v>
      </c>
      <c r="C42" s="132" t="s">
        <v>89</v>
      </c>
      <c r="D42" s="132" t="s">
        <v>88</v>
      </c>
      <c r="E42" s="132" t="s">
        <v>87</v>
      </c>
      <c r="F42" s="139" t="s">
        <v>107</v>
      </c>
      <c r="H42" s="127" t="s">
        <v>113</v>
      </c>
      <c r="P42" s="153">
        <v>0</v>
      </c>
      <c r="Q42" s="124">
        <v>0</v>
      </c>
      <c r="R42" s="124">
        <v>1</v>
      </c>
      <c r="S42" s="154" t="s">
        <v>122</v>
      </c>
      <c r="T42" s="127"/>
    </row>
    <row r="43" spans="2:20" x14ac:dyDescent="0.25">
      <c r="H43" s="149" t="s">
        <v>117</v>
      </c>
      <c r="P43" s="153">
        <v>0</v>
      </c>
      <c r="Q43" s="124">
        <v>1</v>
      </c>
      <c r="R43" s="124">
        <v>0</v>
      </c>
      <c r="S43" s="155" t="s">
        <v>123</v>
      </c>
      <c r="T43" s="127"/>
    </row>
    <row r="44" spans="2:20" x14ac:dyDescent="0.25">
      <c r="H44" s="127" t="s">
        <v>112</v>
      </c>
      <c r="P44" s="156">
        <v>0</v>
      </c>
      <c r="Q44" s="157">
        <v>1</v>
      </c>
      <c r="R44" s="157">
        <v>1</v>
      </c>
      <c r="S44" s="158" t="s">
        <v>123</v>
      </c>
      <c r="T44" s="127"/>
    </row>
    <row r="45" spans="2:20" x14ac:dyDescent="0.25">
      <c r="H45" s="149" t="s">
        <v>114</v>
      </c>
      <c r="P45" s="127">
        <v>1</v>
      </c>
      <c r="Q45" s="127">
        <v>0</v>
      </c>
      <c r="R45" s="127">
        <v>0</v>
      </c>
      <c r="S45" s="127" t="s">
        <v>122</v>
      </c>
      <c r="T45" s="127"/>
    </row>
    <row r="46" spans="2:20" x14ac:dyDescent="0.25">
      <c r="H46" s="149"/>
      <c r="P46" s="127">
        <v>1</v>
      </c>
      <c r="Q46" s="127">
        <v>0</v>
      </c>
      <c r="R46" s="127">
        <v>1</v>
      </c>
      <c r="S46" s="127" t="s">
        <v>122</v>
      </c>
      <c r="T46" s="127"/>
    </row>
    <row r="47" spans="2:20" x14ac:dyDescent="0.25">
      <c r="P47" s="127">
        <v>1</v>
      </c>
      <c r="Q47" s="127">
        <v>1</v>
      </c>
      <c r="R47" s="127">
        <v>0</v>
      </c>
      <c r="S47" s="127" t="s">
        <v>122</v>
      </c>
      <c r="T47" s="127"/>
    </row>
    <row r="48" spans="2:20" x14ac:dyDescent="0.25">
      <c r="P48" s="127">
        <v>1</v>
      </c>
      <c r="Q48" s="127">
        <v>1</v>
      </c>
      <c r="R48" s="127">
        <v>1</v>
      </c>
      <c r="S48" s="127" t="s">
        <v>122</v>
      </c>
      <c r="T48" s="127"/>
    </row>
    <row r="49" spans="16:20" x14ac:dyDescent="0.25">
      <c r="P49" s="127"/>
      <c r="Q49" s="127"/>
      <c r="R49" s="127"/>
      <c r="S49" s="127"/>
      <c r="T49" s="127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Q84"/>
  <sheetViews>
    <sheetView zoomScaleNormal="100" workbookViewId="0">
      <selection activeCell="AK74" sqref="AK74"/>
    </sheetView>
  </sheetViews>
  <sheetFormatPr baseColWidth="10" defaultColWidth="3.85546875" defaultRowHeight="15" x14ac:dyDescent="0.25"/>
  <cols>
    <col min="2" max="2" width="5" bestFit="1" customWidth="1"/>
    <col min="42" max="42" width="3.42578125" bestFit="1" customWidth="1"/>
    <col min="43" max="43" width="4.42578125" bestFit="1" customWidth="1"/>
    <col min="44" max="44" width="102.140625" bestFit="1" customWidth="1"/>
    <col min="45" max="45" width="1.5703125" bestFit="1" customWidth="1"/>
    <col min="46" max="46" width="10.28515625" customWidth="1"/>
    <col min="47" max="49" width="8.28515625" customWidth="1"/>
    <col min="50" max="50" width="22.7109375" customWidth="1"/>
  </cols>
  <sheetData>
    <row r="1" spans="2:67" x14ac:dyDescent="0.25">
      <c r="T1" s="25"/>
      <c r="U1" s="25"/>
      <c r="V1" s="25"/>
      <c r="W1" s="25"/>
      <c r="X1" s="25"/>
      <c r="Y1" s="25"/>
      <c r="Z1" s="25"/>
      <c r="AA1" s="25"/>
      <c r="AB1" s="31"/>
      <c r="AC1" s="31"/>
      <c r="AD1" s="23"/>
      <c r="AE1" s="31"/>
      <c r="AF1" s="25"/>
      <c r="AG1" s="25"/>
      <c r="AH1" s="25"/>
      <c r="AI1" s="25"/>
      <c r="AJ1" s="25"/>
      <c r="AK1" s="25"/>
      <c r="AL1" s="25"/>
      <c r="AM1" s="25"/>
      <c r="AN1" s="25"/>
    </row>
    <row r="2" spans="2:67" ht="15.75" customHeight="1" x14ac:dyDescent="0.25">
      <c r="D2" s="50"/>
      <c r="E2" s="50"/>
      <c r="F2" s="50"/>
      <c r="G2" s="50"/>
      <c r="H2" s="50"/>
      <c r="I2" s="321" t="s">
        <v>63</v>
      </c>
      <c r="J2" s="321" t="s">
        <v>61</v>
      </c>
      <c r="K2" s="321" t="s">
        <v>55</v>
      </c>
      <c r="L2" s="321" t="s">
        <v>56</v>
      </c>
      <c r="M2" s="321" t="s">
        <v>57</v>
      </c>
      <c r="N2" s="321" t="s">
        <v>58</v>
      </c>
      <c r="O2" s="321" t="s">
        <v>59</v>
      </c>
      <c r="P2" s="321" t="s">
        <v>62</v>
      </c>
      <c r="Q2" s="321" t="s">
        <v>60</v>
      </c>
      <c r="R2" s="321" t="s">
        <v>64</v>
      </c>
      <c r="T2" s="25"/>
      <c r="U2" s="25"/>
      <c r="V2" s="25"/>
      <c r="W2" s="25"/>
      <c r="X2" s="25"/>
      <c r="Y2" s="25"/>
      <c r="Z2" s="25"/>
      <c r="AA2" s="25"/>
      <c r="AB2" s="31"/>
      <c r="AC2" s="31"/>
      <c r="AD2" s="23"/>
      <c r="AE2" s="31"/>
      <c r="AF2" s="25"/>
      <c r="AG2" s="25"/>
      <c r="AH2" s="25"/>
      <c r="AI2" s="25"/>
      <c r="AJ2" s="25"/>
      <c r="AK2" s="25"/>
      <c r="AL2" s="25"/>
      <c r="AM2" s="25"/>
      <c r="AN2" s="25"/>
    </row>
    <row r="3" spans="2:67" x14ac:dyDescent="0.25">
      <c r="D3" s="23"/>
      <c r="E3" s="23"/>
      <c r="F3" s="23"/>
      <c r="G3" s="23"/>
      <c r="H3" s="23"/>
      <c r="I3" s="321"/>
      <c r="J3" s="321"/>
      <c r="K3" s="321"/>
      <c r="L3" s="321"/>
      <c r="M3" s="321"/>
      <c r="N3" s="321"/>
      <c r="O3" s="321"/>
      <c r="P3" s="321"/>
      <c r="Q3" s="321"/>
      <c r="R3" s="321"/>
      <c r="AT3" s="330" t="s">
        <v>70</v>
      </c>
      <c r="AU3" s="331"/>
      <c r="AV3" s="331"/>
      <c r="AW3" s="332"/>
      <c r="AY3" s="329" t="s">
        <v>69</v>
      </c>
      <c r="AZ3" s="329"/>
      <c r="BA3" s="329"/>
      <c r="BB3" s="329"/>
      <c r="BC3" s="329"/>
      <c r="BD3" s="329"/>
      <c r="BE3" s="329"/>
      <c r="BF3" s="329"/>
      <c r="BG3" s="329"/>
      <c r="BH3" s="329"/>
      <c r="BI3" s="329"/>
      <c r="BJ3" s="329"/>
      <c r="BK3" s="329"/>
      <c r="BL3" s="329"/>
      <c r="BM3" s="329"/>
    </row>
    <row r="4" spans="2:67" x14ac:dyDescent="0.25">
      <c r="D4" s="23"/>
      <c r="E4" s="23"/>
      <c r="F4" s="23"/>
      <c r="G4" s="23"/>
      <c r="H4" s="23"/>
      <c r="I4" s="321"/>
      <c r="J4" s="321"/>
      <c r="K4" s="321"/>
      <c r="L4" s="321"/>
      <c r="M4" s="321"/>
      <c r="N4" s="321"/>
      <c r="O4" s="321"/>
      <c r="P4" s="321"/>
      <c r="Q4" s="321"/>
      <c r="R4" s="321"/>
      <c r="AT4" s="57" t="s">
        <v>16</v>
      </c>
      <c r="AU4" s="327" t="s">
        <v>14</v>
      </c>
      <c r="AV4" s="328"/>
      <c r="AW4" s="102"/>
      <c r="AY4" s="75">
        <v>8</v>
      </c>
      <c r="AZ4" s="76">
        <v>7</v>
      </c>
      <c r="BA4" s="76">
        <v>6</v>
      </c>
      <c r="BB4" s="76">
        <v>5</v>
      </c>
      <c r="BC4" s="76">
        <v>4</v>
      </c>
      <c r="BD4" s="58">
        <v>16</v>
      </c>
      <c r="BE4" s="59">
        <v>14</v>
      </c>
      <c r="BF4" s="76">
        <v>15</v>
      </c>
      <c r="BG4" s="76">
        <v>17</v>
      </c>
      <c r="BH4" s="76">
        <v>18</v>
      </c>
      <c r="BI4" s="76">
        <v>19</v>
      </c>
      <c r="BJ4" s="76">
        <v>20</v>
      </c>
      <c r="BK4" s="76">
        <v>21</v>
      </c>
      <c r="BL4" s="76">
        <v>22</v>
      </c>
      <c r="BM4" s="79">
        <v>23</v>
      </c>
      <c r="BN4" s="333" t="s">
        <v>53</v>
      </c>
      <c r="BO4" s="334"/>
    </row>
    <row r="5" spans="2:67" x14ac:dyDescent="0.25">
      <c r="D5" s="23"/>
      <c r="E5" s="23"/>
      <c r="F5" s="23"/>
      <c r="G5" s="23"/>
      <c r="H5" s="23"/>
      <c r="I5" s="321"/>
      <c r="J5" s="321"/>
      <c r="K5" s="321"/>
      <c r="L5" s="321"/>
      <c r="M5" s="321"/>
      <c r="N5" s="321"/>
      <c r="O5" s="321"/>
      <c r="P5" s="321"/>
      <c r="Q5" s="321"/>
      <c r="R5" s="321"/>
      <c r="AT5" s="13" t="s">
        <v>0</v>
      </c>
      <c r="AU5" s="16" t="s">
        <v>2</v>
      </c>
      <c r="AV5" s="17" t="s">
        <v>3</v>
      </c>
      <c r="AW5" s="12" t="s">
        <v>13</v>
      </c>
      <c r="AY5" s="159" t="s">
        <v>8</v>
      </c>
      <c r="AZ5" s="159" t="s">
        <v>1</v>
      </c>
      <c r="BA5" s="159" t="s">
        <v>33</v>
      </c>
      <c r="BB5" s="159" t="s">
        <v>0</v>
      </c>
      <c r="BC5" s="56" t="s">
        <v>19</v>
      </c>
      <c r="BD5" s="61"/>
      <c r="BE5" s="62"/>
      <c r="BF5" s="45" t="s">
        <v>45</v>
      </c>
      <c r="BG5" s="45" t="s">
        <v>46</v>
      </c>
      <c r="BH5" s="45" t="s">
        <v>47</v>
      </c>
      <c r="BI5" s="45" t="s">
        <v>48</v>
      </c>
      <c r="BJ5" s="45" t="s">
        <v>49</v>
      </c>
      <c r="BK5" s="45" t="s">
        <v>50</v>
      </c>
      <c r="BL5" s="45" t="s">
        <v>51</v>
      </c>
      <c r="BM5" s="46" t="s">
        <v>52</v>
      </c>
      <c r="BN5" s="335" t="s">
        <v>54</v>
      </c>
      <c r="BO5" s="336"/>
    </row>
    <row r="6" spans="2:67" ht="15" customHeight="1" x14ac:dyDescent="0.25">
      <c r="D6" s="23"/>
      <c r="E6" s="23"/>
      <c r="F6" s="23"/>
      <c r="G6" s="23"/>
      <c r="H6" s="23"/>
      <c r="I6" s="321"/>
      <c r="J6" s="321"/>
      <c r="K6" s="321"/>
      <c r="L6" s="321"/>
      <c r="M6" s="321"/>
      <c r="N6" s="321"/>
      <c r="O6" s="321"/>
      <c r="P6" s="321"/>
      <c r="Q6" s="321"/>
      <c r="R6" s="321"/>
      <c r="AT6" s="14" t="s">
        <v>1</v>
      </c>
      <c r="AU6" s="18" t="s">
        <v>2</v>
      </c>
      <c r="AV6" s="19" t="s">
        <v>4</v>
      </c>
      <c r="AW6" s="12" t="s">
        <v>13</v>
      </c>
      <c r="AY6" s="52">
        <v>0</v>
      </c>
      <c r="AZ6" s="43">
        <v>0</v>
      </c>
      <c r="BA6" s="43">
        <v>0</v>
      </c>
      <c r="BB6" s="43">
        <v>0</v>
      </c>
      <c r="BC6" s="43">
        <v>0</v>
      </c>
      <c r="BD6" s="52"/>
      <c r="BE6" s="44"/>
      <c r="BF6" s="66"/>
      <c r="BG6" s="66"/>
      <c r="BH6" s="66"/>
      <c r="BI6" s="66">
        <v>1</v>
      </c>
      <c r="BJ6" s="66">
        <v>1</v>
      </c>
      <c r="BK6" s="66">
        <v>1</v>
      </c>
      <c r="BL6" s="66"/>
      <c r="BM6" s="67"/>
      <c r="BN6" t="s">
        <v>34</v>
      </c>
    </row>
    <row r="7" spans="2:67" x14ac:dyDescent="0.25">
      <c r="D7" s="23"/>
      <c r="E7" s="23"/>
      <c r="F7" s="23"/>
      <c r="G7" s="23"/>
      <c r="H7" s="23"/>
      <c r="I7" s="321"/>
      <c r="J7" s="321"/>
      <c r="K7" s="321"/>
      <c r="L7" s="321"/>
      <c r="M7" s="321"/>
      <c r="N7" s="321"/>
      <c r="O7" s="321"/>
      <c r="P7" s="321"/>
      <c r="Q7" s="321"/>
      <c r="R7" s="321"/>
      <c r="T7" s="25"/>
      <c r="U7" s="25"/>
      <c r="V7" s="25"/>
      <c r="W7" s="25"/>
      <c r="X7" s="42" t="str">
        <f>$R$11</f>
        <v>O5</v>
      </c>
      <c r="Y7" s="25"/>
      <c r="Z7" s="25"/>
      <c r="AA7" s="25"/>
      <c r="AB7" s="25"/>
      <c r="AC7" s="25"/>
      <c r="AD7" s="33"/>
      <c r="AE7" s="25"/>
      <c r="AF7" s="25"/>
      <c r="AG7" s="25"/>
      <c r="AH7" s="25"/>
      <c r="AI7" s="42" t="str">
        <f>$M$11</f>
        <v>O4</v>
      </c>
      <c r="AJ7" s="25"/>
      <c r="AK7" s="25"/>
      <c r="AL7" s="25"/>
      <c r="AM7" s="25"/>
      <c r="AN7" s="25"/>
      <c r="AT7" s="14" t="s">
        <v>8</v>
      </c>
      <c r="AU7" s="18" t="s">
        <v>2</v>
      </c>
      <c r="AV7" s="19" t="s">
        <v>21</v>
      </c>
      <c r="AW7" s="12" t="s">
        <v>13</v>
      </c>
      <c r="AY7" s="47">
        <v>0</v>
      </c>
      <c r="AZ7" s="48">
        <v>0</v>
      </c>
      <c r="BA7" s="48">
        <v>0</v>
      </c>
      <c r="BB7" s="48">
        <v>0</v>
      </c>
      <c r="BC7" s="48">
        <v>1</v>
      </c>
      <c r="BD7" s="47"/>
      <c r="BE7" s="49"/>
      <c r="BF7" s="63"/>
      <c r="BG7" s="63"/>
      <c r="BH7" s="63"/>
      <c r="BI7" s="63">
        <v>1</v>
      </c>
      <c r="BJ7" s="63">
        <v>1</v>
      </c>
      <c r="BK7" s="63">
        <v>1</v>
      </c>
      <c r="BL7" s="63"/>
      <c r="BM7" s="51">
        <v>1</v>
      </c>
      <c r="BN7" t="s">
        <v>35</v>
      </c>
    </row>
    <row r="8" spans="2:67" x14ac:dyDescent="0.25">
      <c r="D8" s="23"/>
      <c r="E8" s="23"/>
      <c r="F8" s="23"/>
      <c r="G8" s="23"/>
      <c r="H8" s="23"/>
      <c r="I8" s="321"/>
      <c r="J8" s="321"/>
      <c r="K8" s="321"/>
      <c r="L8" s="321"/>
      <c r="M8" s="321"/>
      <c r="N8" s="321"/>
      <c r="O8" s="321"/>
      <c r="P8" s="321"/>
      <c r="Q8" s="321"/>
      <c r="R8" s="321"/>
      <c r="T8" s="26"/>
      <c r="U8" s="27"/>
      <c r="V8" s="323" t="s">
        <v>8</v>
      </c>
      <c r="W8" s="323"/>
      <c r="X8" s="41"/>
      <c r="Y8" s="27"/>
      <c r="Z8" s="323" t="s">
        <v>8</v>
      </c>
      <c r="AA8" s="323"/>
      <c r="AB8" s="40"/>
      <c r="AC8" s="28"/>
      <c r="AD8" s="33"/>
      <c r="AE8" s="26"/>
      <c r="AF8" s="27"/>
      <c r="AG8" s="323" t="s">
        <v>8</v>
      </c>
      <c r="AH8" s="323"/>
      <c r="AI8" s="41"/>
      <c r="AJ8" s="27"/>
      <c r="AK8" s="323" t="s">
        <v>8</v>
      </c>
      <c r="AL8" s="323"/>
      <c r="AM8" s="40"/>
      <c r="AN8" s="28"/>
      <c r="AT8" s="14" t="s">
        <v>19</v>
      </c>
      <c r="AU8" s="18" t="s">
        <v>2</v>
      </c>
      <c r="AV8" s="19" t="s">
        <v>18</v>
      </c>
      <c r="AW8" s="12" t="s">
        <v>13</v>
      </c>
      <c r="AY8" s="47">
        <v>0</v>
      </c>
      <c r="AZ8" s="48">
        <v>0</v>
      </c>
      <c r="BA8" s="48">
        <v>0</v>
      </c>
      <c r="BB8" s="48">
        <v>1</v>
      </c>
      <c r="BC8" s="48">
        <v>0</v>
      </c>
      <c r="BD8" s="47"/>
      <c r="BE8" s="49"/>
      <c r="BF8" s="63"/>
      <c r="BG8" s="63"/>
      <c r="BH8" s="63"/>
      <c r="BI8" s="63">
        <v>1</v>
      </c>
      <c r="BJ8" s="63">
        <v>1</v>
      </c>
      <c r="BK8" s="63">
        <v>1</v>
      </c>
      <c r="BL8" s="63"/>
      <c r="BM8" s="51"/>
      <c r="BN8" t="s">
        <v>34</v>
      </c>
    </row>
    <row r="9" spans="2:67" ht="15" customHeight="1" x14ac:dyDescent="0.25">
      <c r="B9" s="81"/>
      <c r="C9" s="81"/>
      <c r="D9" s="81"/>
      <c r="E9" s="82"/>
      <c r="F9" s="82"/>
      <c r="G9" s="82"/>
      <c r="H9" s="68"/>
      <c r="I9" s="322"/>
      <c r="J9" s="322"/>
      <c r="K9" s="322"/>
      <c r="L9" s="322"/>
      <c r="M9" s="322"/>
      <c r="N9" s="322"/>
      <c r="O9" s="322"/>
      <c r="P9" s="322"/>
      <c r="Q9" s="322"/>
      <c r="R9" s="322"/>
      <c r="T9" s="29"/>
      <c r="U9" s="93">
        <f>R$12</f>
        <v>0</v>
      </c>
      <c r="V9" s="95">
        <f>R$28</f>
        <v>0</v>
      </c>
      <c r="W9" s="95">
        <f>R$32</f>
        <v>0</v>
      </c>
      <c r="X9" s="94">
        <f>R$16</f>
        <v>0</v>
      </c>
      <c r="Y9" s="95">
        <f>R$18</f>
        <v>1</v>
      </c>
      <c r="Z9" s="95">
        <f>R$34</f>
        <v>1</v>
      </c>
      <c r="AA9" s="95">
        <f>R$30</f>
        <v>1</v>
      </c>
      <c r="AB9" s="94">
        <f>R$14</f>
        <v>1</v>
      </c>
      <c r="AC9" s="30"/>
      <c r="AD9" s="33"/>
      <c r="AE9" s="29"/>
      <c r="AF9" s="93">
        <f>M$12</f>
        <v>1</v>
      </c>
      <c r="AG9" s="95">
        <f>M$28</f>
        <v>1</v>
      </c>
      <c r="AH9" s="95">
        <f>M$32</f>
        <v>1</v>
      </c>
      <c r="AI9" s="94">
        <f>M$16</f>
        <v>1</v>
      </c>
      <c r="AJ9" s="95">
        <f>M$18</f>
        <v>1</v>
      </c>
      <c r="AK9" s="95">
        <f>M$34</f>
        <v>1</v>
      </c>
      <c r="AL9" s="95">
        <f>M$30</f>
        <v>1</v>
      </c>
      <c r="AM9" s="94">
        <f>M$14</f>
        <v>1</v>
      </c>
      <c r="AN9" s="38"/>
      <c r="AR9" t="s">
        <v>75</v>
      </c>
      <c r="AT9" s="14" t="s">
        <v>10</v>
      </c>
      <c r="AU9" s="18" t="s">
        <v>5</v>
      </c>
      <c r="AV9" s="19" t="s">
        <v>6</v>
      </c>
      <c r="AW9" s="11" t="s">
        <v>7</v>
      </c>
      <c r="AY9" s="47">
        <v>0</v>
      </c>
      <c r="AZ9" s="48">
        <v>0</v>
      </c>
      <c r="BA9" s="48">
        <v>0</v>
      </c>
      <c r="BB9" s="48">
        <v>1</v>
      </c>
      <c r="BC9" s="48">
        <v>1</v>
      </c>
      <c r="BD9" s="47"/>
      <c r="BE9" s="49"/>
      <c r="BF9" s="63"/>
      <c r="BG9" s="63"/>
      <c r="BH9" s="63"/>
      <c r="BI9" s="63">
        <v>1</v>
      </c>
      <c r="BJ9" s="63">
        <v>1</v>
      </c>
      <c r="BK9" s="63">
        <v>1</v>
      </c>
      <c r="BL9" s="63"/>
      <c r="BM9" s="51">
        <v>1</v>
      </c>
      <c r="BN9" t="s">
        <v>35</v>
      </c>
    </row>
    <row r="10" spans="2:67" x14ac:dyDescent="0.25">
      <c r="B10" s="75"/>
      <c r="C10" s="75">
        <v>2</v>
      </c>
      <c r="D10" s="75">
        <v>3</v>
      </c>
      <c r="E10" s="76">
        <v>4</v>
      </c>
      <c r="F10" s="76">
        <v>5</v>
      </c>
      <c r="G10" s="76">
        <v>6</v>
      </c>
      <c r="H10" s="79">
        <v>7</v>
      </c>
      <c r="I10" s="43">
        <v>23</v>
      </c>
      <c r="J10" s="43">
        <v>22</v>
      </c>
      <c r="K10" s="43">
        <v>21</v>
      </c>
      <c r="L10" s="43">
        <v>20</v>
      </c>
      <c r="M10" s="43">
        <v>19</v>
      </c>
      <c r="N10" s="43">
        <v>18</v>
      </c>
      <c r="O10" s="43">
        <v>17</v>
      </c>
      <c r="P10" s="43">
        <v>16</v>
      </c>
      <c r="Q10" s="43">
        <v>15</v>
      </c>
      <c r="R10" s="44">
        <v>14</v>
      </c>
      <c r="T10" s="320" t="s">
        <v>1</v>
      </c>
      <c r="U10" s="72">
        <f>R$20</f>
        <v>0</v>
      </c>
      <c r="V10" s="71">
        <f>R$36</f>
        <v>0</v>
      </c>
      <c r="W10" s="71">
        <f>R$40</f>
        <v>0</v>
      </c>
      <c r="X10" s="73">
        <f>R$24</f>
        <v>0</v>
      </c>
      <c r="Y10" s="71">
        <f>R$26</f>
        <v>0</v>
      </c>
      <c r="Z10" s="71">
        <f>R$42</f>
        <v>0</v>
      </c>
      <c r="AA10" s="71">
        <f>R$38</f>
        <v>0</v>
      </c>
      <c r="AB10" s="73">
        <f>R$22</f>
        <v>0</v>
      </c>
      <c r="AC10" s="98"/>
      <c r="AD10" s="33"/>
      <c r="AE10" s="320" t="s">
        <v>1</v>
      </c>
      <c r="AF10" s="72">
        <f>M$20</f>
        <v>1</v>
      </c>
      <c r="AG10" s="71">
        <f>M$36</f>
        <v>1</v>
      </c>
      <c r="AH10" s="71">
        <f>M$40</f>
        <v>0</v>
      </c>
      <c r="AI10" s="73">
        <f>M$24</f>
        <v>0</v>
      </c>
      <c r="AJ10" s="71">
        <f>M$26</f>
        <v>0</v>
      </c>
      <c r="AK10" s="71">
        <f>M$42</f>
        <v>0</v>
      </c>
      <c r="AL10" s="71">
        <f>M$38</f>
        <v>1</v>
      </c>
      <c r="AM10" s="73">
        <f>M$22</f>
        <v>1</v>
      </c>
      <c r="AN10" s="39"/>
      <c r="AR10" t="s">
        <v>65</v>
      </c>
      <c r="AT10" s="14" t="s">
        <v>9</v>
      </c>
      <c r="AU10" s="18" t="s">
        <v>5</v>
      </c>
      <c r="AV10" s="19" t="s">
        <v>12</v>
      </c>
      <c r="AW10" s="11" t="s">
        <v>7</v>
      </c>
      <c r="AY10" s="47">
        <v>0</v>
      </c>
      <c r="AZ10" s="48">
        <v>0</v>
      </c>
      <c r="BA10" s="48">
        <v>1</v>
      </c>
      <c r="BB10" s="48">
        <v>0</v>
      </c>
      <c r="BC10" s="48">
        <v>0</v>
      </c>
      <c r="BD10" s="47"/>
      <c r="BE10" s="49"/>
      <c r="BF10" s="63"/>
      <c r="BG10" s="63"/>
      <c r="BH10" s="63">
        <v>1</v>
      </c>
      <c r="BI10" s="63">
        <v>1</v>
      </c>
      <c r="BJ10" s="63"/>
      <c r="BK10" s="63">
        <v>1</v>
      </c>
      <c r="BL10" s="63"/>
      <c r="BM10" s="51">
        <v>1</v>
      </c>
      <c r="BN10" t="s">
        <v>36</v>
      </c>
    </row>
    <row r="11" spans="2:67" ht="15.75" thickBot="1" x14ac:dyDescent="0.3">
      <c r="B11" s="89">
        <v>1571</v>
      </c>
      <c r="C11" s="89" t="s">
        <v>71</v>
      </c>
      <c r="D11" s="89" t="s">
        <v>8</v>
      </c>
      <c r="E11" s="90" t="s">
        <v>1</v>
      </c>
      <c r="F11" s="90" t="s">
        <v>33</v>
      </c>
      <c r="G11" s="90" t="s">
        <v>0</v>
      </c>
      <c r="H11" s="91" t="s">
        <v>19</v>
      </c>
      <c r="I11" s="160" t="s">
        <v>31</v>
      </c>
      <c r="J11" s="160" t="s">
        <v>28</v>
      </c>
      <c r="K11" s="160" t="s">
        <v>29</v>
      </c>
      <c r="L11" s="160" t="s">
        <v>24</v>
      </c>
      <c r="M11" s="160" t="s">
        <v>26</v>
      </c>
      <c r="N11" s="160" t="s">
        <v>23</v>
      </c>
      <c r="O11" s="160" t="s">
        <v>25</v>
      </c>
      <c r="P11" s="160" t="s">
        <v>30</v>
      </c>
      <c r="Q11" s="160" t="s">
        <v>22</v>
      </c>
      <c r="R11" s="83" t="s">
        <v>27</v>
      </c>
      <c r="T11" s="320"/>
      <c r="U11" s="72">
        <f>R$21</f>
        <v>0</v>
      </c>
      <c r="V11" s="71">
        <f>R$37</f>
        <v>0</v>
      </c>
      <c r="W11" s="71">
        <f>R$41</f>
        <v>0</v>
      </c>
      <c r="X11" s="73">
        <f>R$25</f>
        <v>0</v>
      </c>
      <c r="Y11" s="71">
        <f>R$27</f>
        <v>0</v>
      </c>
      <c r="Z11" s="71">
        <f>R$43</f>
        <v>0</v>
      </c>
      <c r="AA11" s="71">
        <f>R$39</f>
        <v>0</v>
      </c>
      <c r="AB11" s="73">
        <f>R$23</f>
        <v>0</v>
      </c>
      <c r="AC11" s="325" t="s">
        <v>19</v>
      </c>
      <c r="AD11" s="33"/>
      <c r="AE11" s="320"/>
      <c r="AF11" s="72">
        <f>M$21</f>
        <v>1</v>
      </c>
      <c r="AG11" s="71">
        <f>M$37</f>
        <v>1</v>
      </c>
      <c r="AH11" s="71">
        <f>M$41</f>
        <v>0</v>
      </c>
      <c r="AI11" s="73">
        <f>M$25</f>
        <v>0</v>
      </c>
      <c r="AJ11" s="71">
        <f>M$27</f>
        <v>0</v>
      </c>
      <c r="AK11" s="71">
        <f>M$43</f>
        <v>0</v>
      </c>
      <c r="AL11" s="71">
        <f>M$39</f>
        <v>1</v>
      </c>
      <c r="AM11" s="73">
        <f>M$23</f>
        <v>1</v>
      </c>
      <c r="AN11" s="319" t="s">
        <v>19</v>
      </c>
      <c r="AR11" s="24" t="s">
        <v>76</v>
      </c>
      <c r="AS11" s="24"/>
      <c r="AT11" s="15" t="s">
        <v>11</v>
      </c>
      <c r="AU11" s="20" t="s">
        <v>32</v>
      </c>
      <c r="AV11" s="21" t="s">
        <v>15</v>
      </c>
      <c r="AW11" s="11" t="s">
        <v>13</v>
      </c>
      <c r="AY11" s="47">
        <v>0</v>
      </c>
      <c r="AZ11" s="48">
        <v>0</v>
      </c>
      <c r="BA11" s="48">
        <v>1</v>
      </c>
      <c r="BB11" s="48">
        <v>0</v>
      </c>
      <c r="BC11" s="48">
        <v>1</v>
      </c>
      <c r="BD11" s="47"/>
      <c r="BE11" s="49"/>
      <c r="BF11" s="63"/>
      <c r="BG11" s="63"/>
      <c r="BH11" s="63">
        <v>1</v>
      </c>
      <c r="BI11" s="63">
        <v>1</v>
      </c>
      <c r="BJ11" s="63"/>
      <c r="BK11" s="63">
        <v>1</v>
      </c>
      <c r="BL11" s="63"/>
      <c r="BM11" s="51">
        <v>1</v>
      </c>
      <c r="BN11" t="s">
        <v>36</v>
      </c>
    </row>
    <row r="12" spans="2:67" x14ac:dyDescent="0.25">
      <c r="B12" s="52"/>
      <c r="C12" s="52"/>
      <c r="D12" s="52"/>
      <c r="E12" s="43"/>
      <c r="F12" s="43"/>
      <c r="G12" s="43"/>
      <c r="H12" s="44"/>
      <c r="I12" s="84"/>
      <c r="J12" s="43"/>
      <c r="K12" s="43">
        <v>1</v>
      </c>
      <c r="L12" s="163">
        <v>0</v>
      </c>
      <c r="M12" s="43">
        <v>1</v>
      </c>
      <c r="N12" s="163">
        <v>1</v>
      </c>
      <c r="O12" s="43"/>
      <c r="P12" s="163">
        <v>1</v>
      </c>
      <c r="Q12" s="43"/>
      <c r="R12" s="44"/>
      <c r="T12" s="36"/>
      <c r="U12" s="37">
        <f>R$13</f>
        <v>0</v>
      </c>
      <c r="V12" s="34">
        <f>R$29</f>
        <v>0</v>
      </c>
      <c r="W12" s="34">
        <f>R$33</f>
        <v>0</v>
      </c>
      <c r="X12" s="96">
        <f>R$17</f>
        <v>0</v>
      </c>
      <c r="Y12" s="34">
        <f>R$19</f>
        <v>1</v>
      </c>
      <c r="Z12" s="34">
        <f>R$35</f>
        <v>1</v>
      </c>
      <c r="AA12" s="34">
        <f>R$31</f>
        <v>1</v>
      </c>
      <c r="AB12" s="96">
        <f>R$15</f>
        <v>1</v>
      </c>
      <c r="AC12" s="325"/>
      <c r="AD12" s="33"/>
      <c r="AE12" s="36"/>
      <c r="AF12" s="37">
        <f>M$13</f>
        <v>1</v>
      </c>
      <c r="AG12" s="34">
        <f>M$29</f>
        <v>1</v>
      </c>
      <c r="AH12" s="34">
        <f>M$33</f>
        <v>1</v>
      </c>
      <c r="AI12" s="96">
        <f>M$17</f>
        <v>1</v>
      </c>
      <c r="AJ12" s="34">
        <f>M$19</f>
        <v>1</v>
      </c>
      <c r="AK12" s="34">
        <f>M$35</f>
        <v>1</v>
      </c>
      <c r="AL12" s="34">
        <f>M$31</f>
        <v>1</v>
      </c>
      <c r="AM12" s="96">
        <f>M$15</f>
        <v>1</v>
      </c>
      <c r="AN12" s="319"/>
      <c r="AR12" t="s">
        <v>66</v>
      </c>
      <c r="AY12" s="47">
        <v>0</v>
      </c>
      <c r="AZ12" s="48">
        <v>0</v>
      </c>
      <c r="BA12" s="48">
        <v>1</v>
      </c>
      <c r="BB12" s="48">
        <v>1</v>
      </c>
      <c r="BC12" s="48">
        <v>0</v>
      </c>
      <c r="BD12" s="47"/>
      <c r="BE12" s="49"/>
      <c r="BF12" s="63"/>
      <c r="BG12" s="63"/>
      <c r="BH12" s="63"/>
      <c r="BI12" s="63">
        <v>1</v>
      </c>
      <c r="BJ12" s="63">
        <v>1</v>
      </c>
      <c r="BK12" s="63">
        <v>1</v>
      </c>
      <c r="BL12" s="63"/>
      <c r="BM12" s="51"/>
      <c r="BN12" t="s">
        <v>34</v>
      </c>
    </row>
    <row r="13" spans="2:67" x14ac:dyDescent="0.25">
      <c r="B13" s="47"/>
      <c r="C13" s="47"/>
      <c r="D13" s="47"/>
      <c r="E13" s="48"/>
      <c r="F13" s="48"/>
      <c r="G13" s="48"/>
      <c r="H13" s="49">
        <v>1</v>
      </c>
      <c r="I13" s="85">
        <v>1</v>
      </c>
      <c r="J13" s="48"/>
      <c r="K13" s="48">
        <v>1</v>
      </c>
      <c r="L13" s="48">
        <v>1</v>
      </c>
      <c r="M13" s="48">
        <v>1</v>
      </c>
      <c r="N13" s="48"/>
      <c r="O13" s="48"/>
      <c r="P13" s="48"/>
      <c r="Q13" s="48"/>
      <c r="R13" s="49"/>
      <c r="T13" s="29"/>
      <c r="U13" s="31"/>
      <c r="V13" s="1"/>
      <c r="W13" s="326" t="s">
        <v>33</v>
      </c>
      <c r="X13" s="326"/>
      <c r="Y13" s="326"/>
      <c r="Z13" s="326"/>
      <c r="AA13" s="1"/>
      <c r="AB13" s="31"/>
      <c r="AC13" s="30"/>
      <c r="AD13" s="33"/>
      <c r="AE13" s="29"/>
      <c r="AF13" s="31"/>
      <c r="AG13" s="1"/>
      <c r="AH13" s="326" t="s">
        <v>33</v>
      </c>
      <c r="AI13" s="326"/>
      <c r="AJ13" s="326"/>
      <c r="AK13" s="326"/>
      <c r="AL13" s="1"/>
      <c r="AM13" s="31"/>
      <c r="AN13" s="30"/>
      <c r="AR13" t="s">
        <v>82</v>
      </c>
      <c r="AT13" t="s">
        <v>17</v>
      </c>
      <c r="AY13" s="47">
        <v>0</v>
      </c>
      <c r="AZ13" s="48">
        <v>0</v>
      </c>
      <c r="BA13" s="48">
        <v>1</v>
      </c>
      <c r="BB13" s="48">
        <v>1</v>
      </c>
      <c r="BC13" s="48">
        <v>1</v>
      </c>
      <c r="BD13" s="47"/>
      <c r="BE13" s="49"/>
      <c r="BF13" s="63"/>
      <c r="BG13" s="63"/>
      <c r="BH13" s="63"/>
      <c r="BI13" s="63">
        <v>1</v>
      </c>
      <c r="BJ13" s="63">
        <v>1</v>
      </c>
      <c r="BK13" s="63">
        <v>1</v>
      </c>
      <c r="BL13" s="63"/>
      <c r="BM13" s="51">
        <v>1</v>
      </c>
      <c r="BN13" t="s">
        <v>35</v>
      </c>
    </row>
    <row r="14" spans="2:67" ht="15.75" thickBot="1" x14ac:dyDescent="0.3">
      <c r="B14" s="47"/>
      <c r="C14" s="47"/>
      <c r="D14" s="47"/>
      <c r="E14" s="48"/>
      <c r="F14" s="48"/>
      <c r="G14" s="48">
        <v>1</v>
      </c>
      <c r="H14" s="49"/>
      <c r="I14" s="85"/>
      <c r="J14" s="48"/>
      <c r="K14" s="48">
        <v>1</v>
      </c>
      <c r="L14" s="48">
        <v>1</v>
      </c>
      <c r="M14" s="48">
        <v>1</v>
      </c>
      <c r="N14" s="48"/>
      <c r="O14" s="48"/>
      <c r="P14" s="48"/>
      <c r="Q14" s="48"/>
      <c r="R14" s="49">
        <v>1</v>
      </c>
      <c r="T14" s="37"/>
      <c r="U14" s="34"/>
      <c r="V14" s="35"/>
      <c r="W14" s="35"/>
      <c r="X14" s="34"/>
      <c r="Y14" s="324" t="s">
        <v>0</v>
      </c>
      <c r="Z14" s="324"/>
      <c r="AA14" s="324"/>
      <c r="AB14" s="324"/>
      <c r="AC14" s="32"/>
      <c r="AD14" s="33"/>
      <c r="AE14" s="37"/>
      <c r="AF14" s="34"/>
      <c r="AG14" s="35"/>
      <c r="AH14" s="35"/>
      <c r="AI14" s="34"/>
      <c r="AJ14" s="324" t="s">
        <v>0</v>
      </c>
      <c r="AK14" s="324"/>
      <c r="AL14" s="324"/>
      <c r="AM14" s="324"/>
      <c r="AN14" s="32"/>
      <c r="AR14" t="s">
        <v>72</v>
      </c>
      <c r="AT14" s="8" t="s">
        <v>0</v>
      </c>
      <c r="AU14" s="9" t="s">
        <v>1</v>
      </c>
      <c r="AV14" s="10" t="s">
        <v>10</v>
      </c>
      <c r="AW14" s="9" t="s">
        <v>9</v>
      </c>
      <c r="AY14" s="47">
        <v>0</v>
      </c>
      <c r="AZ14" s="48">
        <v>1</v>
      </c>
      <c r="BA14" s="48">
        <v>0</v>
      </c>
      <c r="BB14" s="48">
        <v>0</v>
      </c>
      <c r="BC14" s="48">
        <v>0</v>
      </c>
      <c r="BD14" s="47"/>
      <c r="BE14" s="49"/>
      <c r="BF14" s="63"/>
      <c r="BG14" s="63"/>
      <c r="BH14" s="63"/>
      <c r="BI14" s="63">
        <v>1</v>
      </c>
      <c r="BJ14" s="63">
        <v>1</v>
      </c>
      <c r="BK14" s="63">
        <v>1</v>
      </c>
      <c r="BL14" s="63"/>
      <c r="BM14" s="51"/>
      <c r="BN14" t="s">
        <v>34</v>
      </c>
    </row>
    <row r="15" spans="2:67" ht="15.75" thickTop="1" x14ac:dyDescent="0.25">
      <c r="B15" s="53"/>
      <c r="C15" s="53"/>
      <c r="D15" s="53"/>
      <c r="E15" s="54"/>
      <c r="F15" s="54"/>
      <c r="G15" s="54">
        <v>1</v>
      </c>
      <c r="H15" s="55">
        <v>1</v>
      </c>
      <c r="I15" s="85">
        <v>1</v>
      </c>
      <c r="J15" s="48"/>
      <c r="K15" s="48">
        <v>1</v>
      </c>
      <c r="L15" s="48">
        <v>1</v>
      </c>
      <c r="M15" s="48">
        <v>1</v>
      </c>
      <c r="N15" s="48"/>
      <c r="O15" s="48"/>
      <c r="P15" s="48"/>
      <c r="Q15" s="48"/>
      <c r="R15" s="49">
        <v>1</v>
      </c>
      <c r="T15" s="25"/>
      <c r="U15" s="25"/>
      <c r="V15" s="25"/>
      <c r="W15" s="25"/>
      <c r="X15" s="42" t="str">
        <f>$Q$11</f>
        <v>O0</v>
      </c>
      <c r="Y15" s="25"/>
      <c r="Z15" s="25"/>
      <c r="AA15" s="25"/>
      <c r="AB15" s="25"/>
      <c r="AC15" s="25"/>
      <c r="AD15" s="33"/>
      <c r="AE15" s="25"/>
      <c r="AF15" s="25"/>
      <c r="AG15" s="25"/>
      <c r="AH15" s="25"/>
      <c r="AI15" s="42" t="str">
        <f>$L$11</f>
        <v>O2</v>
      </c>
      <c r="AJ15" s="25"/>
      <c r="AK15" s="25"/>
      <c r="AL15" s="25"/>
      <c r="AM15" s="25"/>
      <c r="AN15" s="25"/>
      <c r="AR15" t="s">
        <v>73</v>
      </c>
      <c r="AT15" s="3">
        <v>0</v>
      </c>
      <c r="AU15" s="4">
        <v>0</v>
      </c>
      <c r="AV15" s="6" t="s">
        <v>0</v>
      </c>
      <c r="AW15" s="4" t="s">
        <v>8</v>
      </c>
      <c r="AY15" s="47">
        <v>0</v>
      </c>
      <c r="AZ15" s="48">
        <v>1</v>
      </c>
      <c r="BA15" s="48">
        <v>0</v>
      </c>
      <c r="BB15" s="48">
        <v>0</v>
      </c>
      <c r="BC15" s="48">
        <v>1</v>
      </c>
      <c r="BD15" s="47"/>
      <c r="BE15" s="49"/>
      <c r="BF15" s="63"/>
      <c r="BG15" s="63"/>
      <c r="BH15" s="63"/>
      <c r="BI15" s="63">
        <v>1</v>
      </c>
      <c r="BJ15" s="63">
        <v>1</v>
      </c>
      <c r="BK15" s="63">
        <v>1</v>
      </c>
      <c r="BL15" s="63"/>
      <c r="BM15" s="51">
        <v>1</v>
      </c>
      <c r="BN15" t="s">
        <v>35</v>
      </c>
    </row>
    <row r="16" spans="2:67" x14ac:dyDescent="0.25">
      <c r="B16" s="52"/>
      <c r="C16" s="52"/>
      <c r="D16" s="52"/>
      <c r="E16" s="43"/>
      <c r="F16" s="43">
        <v>1</v>
      </c>
      <c r="G16" s="43"/>
      <c r="H16" s="44"/>
      <c r="I16" s="85">
        <v>1</v>
      </c>
      <c r="J16" s="48"/>
      <c r="K16" s="48">
        <v>1</v>
      </c>
      <c r="L16" s="48"/>
      <c r="M16" s="48">
        <v>1</v>
      </c>
      <c r="N16" s="48">
        <v>1</v>
      </c>
      <c r="O16" s="48"/>
      <c r="P16" s="48"/>
      <c r="Q16" s="48"/>
      <c r="R16" s="49"/>
      <c r="T16" s="26"/>
      <c r="U16" s="27"/>
      <c r="V16" s="323" t="s">
        <v>8</v>
      </c>
      <c r="W16" s="323"/>
      <c r="X16" s="41"/>
      <c r="Y16" s="27"/>
      <c r="Z16" s="323" t="s">
        <v>8</v>
      </c>
      <c r="AA16" s="323"/>
      <c r="AB16" s="40"/>
      <c r="AC16" s="28"/>
      <c r="AD16" s="33"/>
      <c r="AE16" s="26"/>
      <c r="AF16" s="27"/>
      <c r="AG16" s="323" t="s">
        <v>8</v>
      </c>
      <c r="AH16" s="323"/>
      <c r="AI16" s="41"/>
      <c r="AJ16" s="27"/>
      <c r="AK16" s="323" t="s">
        <v>8</v>
      </c>
      <c r="AL16" s="323"/>
      <c r="AM16" s="40"/>
      <c r="AN16" s="28"/>
      <c r="AR16" t="s">
        <v>67</v>
      </c>
      <c r="AT16" s="2">
        <v>0</v>
      </c>
      <c r="AU16" s="5">
        <v>1</v>
      </c>
      <c r="AV16" s="7" t="s">
        <v>0</v>
      </c>
      <c r="AW16" s="5" t="s">
        <v>8</v>
      </c>
      <c r="AY16" s="47">
        <v>0</v>
      </c>
      <c r="AZ16" s="48">
        <v>1</v>
      </c>
      <c r="BA16" s="48">
        <v>0</v>
      </c>
      <c r="BB16" s="48">
        <v>1</v>
      </c>
      <c r="BC16" s="48">
        <v>0</v>
      </c>
      <c r="BD16" s="47"/>
      <c r="BE16" s="49"/>
      <c r="BF16" s="63"/>
      <c r="BG16" s="63"/>
      <c r="BH16" s="63"/>
      <c r="BI16" s="63">
        <v>1</v>
      </c>
      <c r="BJ16" s="63">
        <v>1</v>
      </c>
      <c r="BK16" s="63">
        <v>1</v>
      </c>
      <c r="BL16" s="63"/>
      <c r="BM16" s="51"/>
      <c r="BN16" t="s">
        <v>34</v>
      </c>
    </row>
    <row r="17" spans="2:66" x14ac:dyDescent="0.25">
      <c r="B17" s="47"/>
      <c r="C17" s="47"/>
      <c r="D17" s="47"/>
      <c r="E17" s="48"/>
      <c r="F17" s="48">
        <v>1</v>
      </c>
      <c r="G17" s="48"/>
      <c r="H17" s="49">
        <v>1</v>
      </c>
      <c r="I17" s="85">
        <v>1</v>
      </c>
      <c r="J17" s="48"/>
      <c r="K17" s="48">
        <v>1</v>
      </c>
      <c r="L17" s="48"/>
      <c r="M17" s="48">
        <v>1</v>
      </c>
      <c r="N17" s="48">
        <v>1</v>
      </c>
      <c r="O17" s="48"/>
      <c r="P17" s="48"/>
      <c r="Q17" s="48"/>
      <c r="R17" s="49"/>
      <c r="T17" s="29"/>
      <c r="U17" s="93">
        <f>Q$12</f>
        <v>0</v>
      </c>
      <c r="V17" s="95">
        <f>Q$28</f>
        <v>0</v>
      </c>
      <c r="W17" s="95">
        <f>Q$32</f>
        <v>0</v>
      </c>
      <c r="X17" s="94">
        <f>Q$16</f>
        <v>0</v>
      </c>
      <c r="Y17" s="95">
        <f>Q$18</f>
        <v>0</v>
      </c>
      <c r="Z17" s="95">
        <f>Q$34</f>
        <v>0</v>
      </c>
      <c r="AA17" s="95">
        <f>Q$30</f>
        <v>0</v>
      </c>
      <c r="AB17" s="94">
        <f>Q$14</f>
        <v>0</v>
      </c>
      <c r="AC17" s="38"/>
      <c r="AD17" s="33"/>
      <c r="AE17" s="29"/>
      <c r="AF17" s="93">
        <f>L$12</f>
        <v>0</v>
      </c>
      <c r="AG17" s="95">
        <f>L$28</f>
        <v>0</v>
      </c>
      <c r="AH17" s="95">
        <f>L$32</f>
        <v>0</v>
      </c>
      <c r="AI17" s="94">
        <f>L$16</f>
        <v>0</v>
      </c>
      <c r="AJ17" s="95">
        <f>L$18</f>
        <v>1</v>
      </c>
      <c r="AK17" s="95">
        <f>L$34</f>
        <v>1</v>
      </c>
      <c r="AL17" s="95">
        <f>L$30</f>
        <v>1</v>
      </c>
      <c r="AM17" s="94">
        <f>L$14</f>
        <v>1</v>
      </c>
      <c r="AN17" s="38"/>
      <c r="AR17" t="s">
        <v>68</v>
      </c>
      <c r="AT17" s="2">
        <v>1</v>
      </c>
      <c r="AU17" s="5">
        <v>0</v>
      </c>
      <c r="AV17" s="7" t="s">
        <v>0</v>
      </c>
      <c r="AW17" s="5" t="s">
        <v>8</v>
      </c>
      <c r="AY17" s="47">
        <v>0</v>
      </c>
      <c r="AZ17" s="48">
        <v>1</v>
      </c>
      <c r="BA17" s="48">
        <v>0</v>
      </c>
      <c r="BB17" s="48">
        <v>1</v>
      </c>
      <c r="BC17" s="48">
        <v>1</v>
      </c>
      <c r="BD17" s="47"/>
      <c r="BE17" s="49"/>
      <c r="BF17" s="63"/>
      <c r="BG17" s="63"/>
      <c r="BH17" s="63"/>
      <c r="BI17" s="63">
        <v>1</v>
      </c>
      <c r="BJ17" s="63">
        <v>1</v>
      </c>
      <c r="BK17" s="63">
        <v>1</v>
      </c>
      <c r="BL17" s="63"/>
      <c r="BM17" s="51">
        <v>1</v>
      </c>
      <c r="BN17" t="s">
        <v>35</v>
      </c>
    </row>
    <row r="18" spans="2:66" x14ac:dyDescent="0.25">
      <c r="B18" s="47"/>
      <c r="C18" s="47"/>
      <c r="D18" s="47"/>
      <c r="E18" s="48"/>
      <c r="F18" s="48">
        <v>1</v>
      </c>
      <c r="G18" s="48">
        <v>1</v>
      </c>
      <c r="H18" s="49"/>
      <c r="I18" s="85"/>
      <c r="J18" s="48"/>
      <c r="K18" s="48">
        <v>1</v>
      </c>
      <c r="L18" s="48">
        <v>1</v>
      </c>
      <c r="M18" s="48">
        <v>1</v>
      </c>
      <c r="N18" s="48"/>
      <c r="O18" s="48"/>
      <c r="P18" s="48"/>
      <c r="Q18" s="48"/>
      <c r="R18" s="49">
        <v>1</v>
      </c>
      <c r="T18" s="320" t="s">
        <v>1</v>
      </c>
      <c r="U18" s="72">
        <f>Q$20</f>
        <v>0</v>
      </c>
      <c r="V18" s="71">
        <f>Q$36</f>
        <v>0</v>
      </c>
      <c r="W18" s="71">
        <f>Q$40</f>
        <v>0</v>
      </c>
      <c r="X18" s="73">
        <f>Q$24</f>
        <v>0</v>
      </c>
      <c r="Y18" s="71">
        <f>Q$26</f>
        <v>0</v>
      </c>
      <c r="Z18" s="71">
        <f>Q$42</f>
        <v>0</v>
      </c>
      <c r="AA18" s="71">
        <f>Q$38</f>
        <v>0</v>
      </c>
      <c r="AB18" s="73">
        <f>Q$22</f>
        <v>0</v>
      </c>
      <c r="AC18" s="39"/>
      <c r="AD18" s="33"/>
      <c r="AE18" s="320" t="s">
        <v>1</v>
      </c>
      <c r="AF18" s="72">
        <f>L$20</f>
        <v>1</v>
      </c>
      <c r="AG18" s="71">
        <f>L$36</f>
        <v>1</v>
      </c>
      <c r="AH18" s="71">
        <f>L$40</f>
        <v>1</v>
      </c>
      <c r="AI18" s="73">
        <f>L$24</f>
        <v>1</v>
      </c>
      <c r="AJ18" s="71">
        <f>L$26</f>
        <v>1</v>
      </c>
      <c r="AK18" s="71">
        <f>L$42</f>
        <v>1</v>
      </c>
      <c r="AL18" s="71">
        <f>L$38</f>
        <v>1</v>
      </c>
      <c r="AM18" s="73">
        <f>L$22</f>
        <v>1</v>
      </c>
      <c r="AN18" s="39"/>
      <c r="AR18" t="s">
        <v>74</v>
      </c>
      <c r="AT18" s="2">
        <v>1</v>
      </c>
      <c r="AU18" s="5">
        <v>1</v>
      </c>
      <c r="AV18" s="7">
        <v>0</v>
      </c>
      <c r="AW18" s="22" t="s">
        <v>44</v>
      </c>
      <c r="AY18" s="47">
        <v>0</v>
      </c>
      <c r="AZ18" s="48">
        <v>1</v>
      </c>
      <c r="BA18" s="48">
        <v>1</v>
      </c>
      <c r="BB18" s="48">
        <v>0</v>
      </c>
      <c r="BC18" s="48">
        <v>0</v>
      </c>
      <c r="BD18" s="47"/>
      <c r="BE18" s="49"/>
      <c r="BF18" s="63"/>
      <c r="BG18" s="63"/>
      <c r="BH18" s="63"/>
      <c r="BI18" s="63"/>
      <c r="BJ18" s="63">
        <v>1</v>
      </c>
      <c r="BK18" s="63">
        <v>1</v>
      </c>
      <c r="BL18" s="63"/>
      <c r="BM18" s="51">
        <v>1</v>
      </c>
      <c r="BN18" t="s">
        <v>37</v>
      </c>
    </row>
    <row r="19" spans="2:66" x14ac:dyDescent="0.25">
      <c r="B19" s="53"/>
      <c r="C19" s="53"/>
      <c r="D19" s="53"/>
      <c r="E19" s="54"/>
      <c r="F19" s="54">
        <v>1</v>
      </c>
      <c r="G19" s="54">
        <v>1</v>
      </c>
      <c r="H19" s="55">
        <v>1</v>
      </c>
      <c r="I19" s="85">
        <v>1</v>
      </c>
      <c r="J19" s="48"/>
      <c r="K19" s="48">
        <v>1</v>
      </c>
      <c r="L19" s="48">
        <v>1</v>
      </c>
      <c r="M19" s="48">
        <v>1</v>
      </c>
      <c r="N19" s="48"/>
      <c r="O19" s="48"/>
      <c r="P19" s="48"/>
      <c r="Q19" s="48"/>
      <c r="R19" s="49">
        <v>1</v>
      </c>
      <c r="T19" s="320"/>
      <c r="U19" s="72">
        <f>Q$21</f>
        <v>0</v>
      </c>
      <c r="V19" s="71">
        <f>Q$37</f>
        <v>0</v>
      </c>
      <c r="W19" s="71">
        <f>Q$41</f>
        <v>0</v>
      </c>
      <c r="X19" s="73">
        <f>Q$25</f>
        <v>1</v>
      </c>
      <c r="Y19" s="71">
        <f>Q$27</f>
        <v>0</v>
      </c>
      <c r="Z19" s="71">
        <f>Q$43</f>
        <v>0</v>
      </c>
      <c r="AA19" s="71">
        <f>Q$39</f>
        <v>0</v>
      </c>
      <c r="AB19" s="73">
        <f>Q$23</f>
        <v>0</v>
      </c>
      <c r="AC19" s="319" t="s">
        <v>19</v>
      </c>
      <c r="AD19" s="33"/>
      <c r="AE19" s="320"/>
      <c r="AF19" s="72">
        <f>L$21</f>
        <v>1</v>
      </c>
      <c r="AG19" s="71">
        <f>L$37</f>
        <v>1</v>
      </c>
      <c r="AH19" s="71">
        <f>L$41</f>
        <v>1</v>
      </c>
      <c r="AI19" s="73">
        <f>L$25</f>
        <v>1</v>
      </c>
      <c r="AJ19" s="71">
        <f>L$27</f>
        <v>1</v>
      </c>
      <c r="AK19" s="71">
        <f>L$43</f>
        <v>1</v>
      </c>
      <c r="AL19" s="71">
        <f>L$39</f>
        <v>1</v>
      </c>
      <c r="AM19" s="73">
        <f>L$23</f>
        <v>1</v>
      </c>
      <c r="AN19" s="319" t="s">
        <v>19</v>
      </c>
      <c r="AY19" s="47">
        <v>0</v>
      </c>
      <c r="AZ19" s="48">
        <v>1</v>
      </c>
      <c r="BA19" s="48">
        <v>1</v>
      </c>
      <c r="BB19" s="48">
        <v>0</v>
      </c>
      <c r="BC19" s="48">
        <v>1</v>
      </c>
      <c r="BD19" s="47"/>
      <c r="BE19" s="49"/>
      <c r="BF19" s="63">
        <v>1</v>
      </c>
      <c r="BG19" s="63"/>
      <c r="BH19" s="63"/>
      <c r="BI19" s="63"/>
      <c r="BJ19" s="63">
        <v>1</v>
      </c>
      <c r="BK19" s="63">
        <v>1</v>
      </c>
      <c r="BL19" s="63"/>
      <c r="BM19" s="51">
        <v>1</v>
      </c>
      <c r="BN19" t="s">
        <v>38</v>
      </c>
    </row>
    <row r="20" spans="2:66" x14ac:dyDescent="0.25">
      <c r="B20" s="52"/>
      <c r="C20" s="52"/>
      <c r="D20" s="52"/>
      <c r="E20" s="92">
        <v>1</v>
      </c>
      <c r="F20" s="43"/>
      <c r="G20" s="43"/>
      <c r="H20" s="44"/>
      <c r="I20" s="85"/>
      <c r="J20" s="48"/>
      <c r="K20" s="48">
        <v>1</v>
      </c>
      <c r="L20" s="48">
        <v>1</v>
      </c>
      <c r="M20" s="48">
        <v>1</v>
      </c>
      <c r="N20" s="48"/>
      <c r="O20" s="48"/>
      <c r="P20" s="48"/>
      <c r="Q20" s="48"/>
      <c r="R20" s="49"/>
      <c r="T20" s="36"/>
      <c r="U20" s="37">
        <f>Q$13</f>
        <v>0</v>
      </c>
      <c r="V20" s="34">
        <f>Q$29</f>
        <v>0</v>
      </c>
      <c r="W20" s="34">
        <f>Q$33</f>
        <v>0</v>
      </c>
      <c r="X20" s="96">
        <f>Q$17</f>
        <v>0</v>
      </c>
      <c r="Y20" s="34">
        <f>Q$19</f>
        <v>0</v>
      </c>
      <c r="Z20" s="34">
        <f>Q$35</f>
        <v>0</v>
      </c>
      <c r="AA20" s="34">
        <f>Q$31</f>
        <v>0</v>
      </c>
      <c r="AB20" s="96">
        <f>Q$15</f>
        <v>0</v>
      </c>
      <c r="AC20" s="319"/>
      <c r="AD20" s="33"/>
      <c r="AE20" s="36"/>
      <c r="AF20" s="37">
        <f>L$13</f>
        <v>1</v>
      </c>
      <c r="AG20" s="34">
        <f>L$29</f>
        <v>1</v>
      </c>
      <c r="AH20" s="34">
        <f>L$33</f>
        <v>0</v>
      </c>
      <c r="AI20" s="96">
        <f>L$17</f>
        <v>0</v>
      </c>
      <c r="AJ20" s="34">
        <f>L$19</f>
        <v>1</v>
      </c>
      <c r="AK20" s="34">
        <f>L$35</f>
        <v>1</v>
      </c>
      <c r="AL20" s="34">
        <f>L$31</f>
        <v>1</v>
      </c>
      <c r="AM20" s="96">
        <f>L$15</f>
        <v>1</v>
      </c>
      <c r="AN20" s="319"/>
      <c r="AR20" s="165" t="s">
        <v>124</v>
      </c>
      <c r="AS20" s="165"/>
      <c r="AY20" s="47">
        <v>0</v>
      </c>
      <c r="AZ20" s="48">
        <v>1</v>
      </c>
      <c r="BA20" s="48">
        <v>1</v>
      </c>
      <c r="BB20" s="48">
        <v>1</v>
      </c>
      <c r="BC20" s="48">
        <v>0</v>
      </c>
      <c r="BD20" s="47"/>
      <c r="BE20" s="49"/>
      <c r="BF20" s="63"/>
      <c r="BG20" s="63"/>
      <c r="BH20" s="63">
        <v>1</v>
      </c>
      <c r="BI20" s="63"/>
      <c r="BJ20" s="63">
        <v>1</v>
      </c>
      <c r="BK20" s="63">
        <v>1</v>
      </c>
      <c r="BL20" s="63"/>
      <c r="BM20" s="51"/>
      <c r="BN20" t="s">
        <v>39</v>
      </c>
    </row>
    <row r="21" spans="2:66" x14ac:dyDescent="0.25">
      <c r="B21" s="47"/>
      <c r="C21" s="47"/>
      <c r="D21" s="47"/>
      <c r="E21" s="69">
        <v>1</v>
      </c>
      <c r="F21" s="48"/>
      <c r="G21" s="48"/>
      <c r="H21" s="49">
        <v>1</v>
      </c>
      <c r="I21" s="85">
        <v>1</v>
      </c>
      <c r="J21" s="48"/>
      <c r="K21" s="48">
        <v>1</v>
      </c>
      <c r="L21" s="48">
        <v>1</v>
      </c>
      <c r="M21" s="48">
        <v>1</v>
      </c>
      <c r="N21" s="48"/>
      <c r="O21" s="48"/>
      <c r="P21" s="48"/>
      <c r="Q21" s="48"/>
      <c r="R21" s="49"/>
      <c r="T21" s="29"/>
      <c r="U21" s="31"/>
      <c r="V21" s="1"/>
      <c r="W21" s="326" t="s">
        <v>33</v>
      </c>
      <c r="X21" s="326"/>
      <c r="Y21" s="326"/>
      <c r="Z21" s="326"/>
      <c r="AA21" s="1"/>
      <c r="AB21" s="31"/>
      <c r="AC21" s="30"/>
      <c r="AD21" s="33"/>
      <c r="AE21" s="29"/>
      <c r="AF21" s="31"/>
      <c r="AG21" s="1"/>
      <c r="AH21" s="326" t="s">
        <v>33</v>
      </c>
      <c r="AI21" s="326"/>
      <c r="AJ21" s="326"/>
      <c r="AK21" s="326"/>
      <c r="AL21" s="1"/>
      <c r="AM21" s="31"/>
      <c r="AN21" s="30"/>
      <c r="AP21" s="48">
        <v>14</v>
      </c>
      <c r="AQ21" s="160" t="s">
        <v>22</v>
      </c>
      <c r="AR21" t="s">
        <v>77</v>
      </c>
      <c r="AS21" t="s">
        <v>130</v>
      </c>
      <c r="AT21" s="126" t="s">
        <v>64</v>
      </c>
      <c r="AY21" s="53">
        <v>0</v>
      </c>
      <c r="AZ21" s="54">
        <v>1</v>
      </c>
      <c r="BA21" s="54">
        <v>1</v>
      </c>
      <c r="BB21" s="54">
        <v>1</v>
      </c>
      <c r="BC21" s="54">
        <v>1</v>
      </c>
      <c r="BD21" s="53"/>
      <c r="BE21" s="55"/>
      <c r="BF21" s="64"/>
      <c r="BG21" s="64"/>
      <c r="BH21" s="64">
        <v>1</v>
      </c>
      <c r="BI21" s="64"/>
      <c r="BJ21" s="64">
        <v>1</v>
      </c>
      <c r="BK21" s="64">
        <v>1</v>
      </c>
      <c r="BL21" s="64"/>
      <c r="BM21" s="65">
        <v>1</v>
      </c>
      <c r="BN21" t="s">
        <v>40</v>
      </c>
    </row>
    <row r="22" spans="2:66" x14ac:dyDescent="0.25">
      <c r="B22" s="52"/>
      <c r="C22" s="52"/>
      <c r="D22" s="52"/>
      <c r="E22" s="92">
        <v>1</v>
      </c>
      <c r="F22" s="43"/>
      <c r="G22" s="92">
        <v>1</v>
      </c>
      <c r="H22" s="44"/>
      <c r="I22" s="87"/>
      <c r="J22" s="43"/>
      <c r="K22" s="43">
        <v>1</v>
      </c>
      <c r="L22" s="43">
        <v>1</v>
      </c>
      <c r="M22" s="43">
        <v>1</v>
      </c>
      <c r="N22" s="43"/>
      <c r="O22" s="43"/>
      <c r="P22" s="78">
        <v>1</v>
      </c>
      <c r="Q22" s="43"/>
      <c r="R22" s="77"/>
      <c r="T22" s="37"/>
      <c r="U22" s="34"/>
      <c r="V22" s="35"/>
      <c r="W22" s="35"/>
      <c r="X22" s="34"/>
      <c r="Y22" s="324" t="s">
        <v>0</v>
      </c>
      <c r="Z22" s="324"/>
      <c r="AA22" s="324"/>
      <c r="AB22" s="324"/>
      <c r="AC22" s="32"/>
      <c r="AD22" s="33"/>
      <c r="AE22" s="37"/>
      <c r="AF22" s="34"/>
      <c r="AG22" s="35"/>
      <c r="AH22" s="35"/>
      <c r="AI22" s="34"/>
      <c r="AJ22" s="324" t="s">
        <v>0</v>
      </c>
      <c r="AK22" s="324"/>
      <c r="AL22" s="324"/>
      <c r="AM22" s="324"/>
      <c r="AN22" s="32"/>
      <c r="AP22" s="48">
        <v>15</v>
      </c>
      <c r="AQ22" s="160" t="s">
        <v>23</v>
      </c>
      <c r="AR22" t="s">
        <v>81</v>
      </c>
      <c r="AS22" t="s">
        <v>130</v>
      </c>
      <c r="AT22" s="126" t="s">
        <v>60</v>
      </c>
      <c r="AY22" s="52">
        <v>1</v>
      </c>
      <c r="AZ22" s="43">
        <v>0</v>
      </c>
      <c r="BA22" s="43">
        <v>0</v>
      </c>
      <c r="BB22" s="43">
        <v>0</v>
      </c>
      <c r="BC22" s="43">
        <v>0</v>
      </c>
      <c r="BD22" s="47"/>
      <c r="BE22" s="49"/>
      <c r="BF22" s="63"/>
      <c r="BG22" s="63"/>
      <c r="BH22" s="63">
        <v>1</v>
      </c>
      <c r="BI22" s="63">
        <v>1</v>
      </c>
      <c r="BJ22" s="63"/>
      <c r="BK22" s="63">
        <v>1</v>
      </c>
      <c r="BL22" s="63"/>
      <c r="BM22" s="51"/>
      <c r="BN22" t="s">
        <v>41</v>
      </c>
    </row>
    <row r="23" spans="2:66" x14ac:dyDescent="0.25">
      <c r="B23" s="53"/>
      <c r="C23" s="53"/>
      <c r="D23" s="53"/>
      <c r="E23" s="70">
        <v>1</v>
      </c>
      <c r="F23" s="54"/>
      <c r="G23" s="70">
        <v>1</v>
      </c>
      <c r="H23" s="55">
        <v>1</v>
      </c>
      <c r="I23" s="88">
        <v>1</v>
      </c>
      <c r="J23" s="54"/>
      <c r="K23" s="54">
        <v>1</v>
      </c>
      <c r="L23" s="54">
        <v>1</v>
      </c>
      <c r="M23" s="54">
        <v>1</v>
      </c>
      <c r="N23" s="54"/>
      <c r="O23" s="54"/>
      <c r="P23" s="86">
        <v>0</v>
      </c>
      <c r="Q23" s="54"/>
      <c r="R23" s="97"/>
      <c r="T23" s="25"/>
      <c r="U23" s="25"/>
      <c r="V23" s="25"/>
      <c r="W23" s="25"/>
      <c r="X23" s="42" t="str">
        <f>$P$11</f>
        <v>O8</v>
      </c>
      <c r="Y23" s="25"/>
      <c r="Z23" s="25"/>
      <c r="AA23" s="25"/>
      <c r="AB23" s="25"/>
      <c r="AC23" s="25"/>
      <c r="AD23" s="33"/>
      <c r="AE23" s="25"/>
      <c r="AF23" s="25"/>
      <c r="AG23" s="25"/>
      <c r="AH23" s="25"/>
      <c r="AI23" s="42" t="str">
        <f>$K$11</f>
        <v>O7</v>
      </c>
      <c r="AJ23" s="25"/>
      <c r="AK23" s="25"/>
      <c r="AL23" s="25"/>
      <c r="AM23" s="25"/>
      <c r="AN23" s="25"/>
      <c r="AP23" s="48">
        <v>16</v>
      </c>
      <c r="AQ23" s="160" t="s">
        <v>24</v>
      </c>
      <c r="AR23" s="24" t="s">
        <v>78</v>
      </c>
      <c r="AS23" t="s">
        <v>130</v>
      </c>
      <c r="AT23" s="126" t="s">
        <v>62</v>
      </c>
      <c r="AY23" s="47">
        <v>1</v>
      </c>
      <c r="AZ23" s="48">
        <v>0</v>
      </c>
      <c r="BA23" s="48">
        <v>0</v>
      </c>
      <c r="BB23" s="48">
        <v>0</v>
      </c>
      <c r="BC23" s="48">
        <v>1</v>
      </c>
      <c r="BD23" s="47"/>
      <c r="BE23" s="49"/>
      <c r="BF23" s="63"/>
      <c r="BG23" s="63"/>
      <c r="BH23" s="63"/>
      <c r="BI23" s="63">
        <v>1</v>
      </c>
      <c r="BJ23" s="63">
        <v>1</v>
      </c>
      <c r="BK23" s="63">
        <v>1</v>
      </c>
      <c r="BL23" s="63"/>
      <c r="BM23" s="51">
        <v>1</v>
      </c>
      <c r="BN23" t="s">
        <v>35</v>
      </c>
    </row>
    <row r="24" spans="2:66" x14ac:dyDescent="0.25">
      <c r="B24" s="47"/>
      <c r="C24" s="47"/>
      <c r="D24" s="47"/>
      <c r="E24" s="69">
        <v>1</v>
      </c>
      <c r="F24" s="48">
        <v>1</v>
      </c>
      <c r="G24" s="48"/>
      <c r="H24" s="49"/>
      <c r="I24" s="85">
        <v>1</v>
      </c>
      <c r="J24" s="48"/>
      <c r="K24" s="48">
        <v>1</v>
      </c>
      <c r="L24" s="48">
        <v>1</v>
      </c>
      <c r="M24" s="48"/>
      <c r="N24" s="48"/>
      <c r="O24" s="48"/>
      <c r="P24" s="48"/>
      <c r="Q24" s="48"/>
      <c r="R24" s="49"/>
      <c r="T24" s="26"/>
      <c r="U24" s="27"/>
      <c r="V24" s="323" t="s">
        <v>8</v>
      </c>
      <c r="W24" s="323"/>
      <c r="X24" s="41"/>
      <c r="Y24" s="27"/>
      <c r="Z24" s="323" t="s">
        <v>8</v>
      </c>
      <c r="AA24" s="323"/>
      <c r="AB24" s="40"/>
      <c r="AC24" s="28"/>
      <c r="AD24" s="33"/>
      <c r="AE24" s="26"/>
      <c r="AF24" s="27"/>
      <c r="AG24" s="323" t="s">
        <v>8</v>
      </c>
      <c r="AH24" s="323"/>
      <c r="AI24" s="41"/>
      <c r="AJ24" s="27"/>
      <c r="AK24" s="323" t="s">
        <v>8</v>
      </c>
      <c r="AL24" s="323"/>
      <c r="AM24" s="40"/>
      <c r="AN24" s="28"/>
      <c r="AP24" s="48">
        <v>17</v>
      </c>
      <c r="AQ24" s="160" t="s">
        <v>25</v>
      </c>
      <c r="AR24" t="s">
        <v>66</v>
      </c>
      <c r="AS24" t="s">
        <v>130</v>
      </c>
      <c r="AT24" s="125" t="s">
        <v>59</v>
      </c>
      <c r="AY24" s="47">
        <v>1</v>
      </c>
      <c r="AZ24" s="48">
        <v>0</v>
      </c>
      <c r="BA24" s="48">
        <v>0</v>
      </c>
      <c r="BB24" s="48">
        <v>1</v>
      </c>
      <c r="BC24" s="48">
        <v>0</v>
      </c>
      <c r="BD24" s="47"/>
      <c r="BE24" s="49"/>
      <c r="BF24" s="63"/>
      <c r="BG24" s="63"/>
      <c r="BH24" s="63"/>
      <c r="BI24" s="63">
        <v>1</v>
      </c>
      <c r="BJ24" s="63">
        <v>1</v>
      </c>
      <c r="BK24" s="63">
        <v>1</v>
      </c>
      <c r="BL24" s="63"/>
      <c r="BM24" s="51"/>
      <c r="BN24" t="s">
        <v>34</v>
      </c>
    </row>
    <row r="25" spans="2:66" x14ac:dyDescent="0.25">
      <c r="B25" s="47"/>
      <c r="C25" s="47"/>
      <c r="D25" s="47"/>
      <c r="E25" s="69">
        <v>1</v>
      </c>
      <c r="F25" s="48">
        <v>1</v>
      </c>
      <c r="G25" s="48"/>
      <c r="H25" s="49">
        <v>1</v>
      </c>
      <c r="I25" s="85">
        <v>1</v>
      </c>
      <c r="J25" s="48"/>
      <c r="K25" s="48">
        <v>1</v>
      </c>
      <c r="L25" s="48">
        <v>1</v>
      </c>
      <c r="M25" s="48"/>
      <c r="N25" s="48"/>
      <c r="O25" s="48"/>
      <c r="P25" s="48"/>
      <c r="Q25" s="48">
        <v>1</v>
      </c>
      <c r="R25" s="49"/>
      <c r="T25" s="29"/>
      <c r="U25" s="93">
        <f>P$12</f>
        <v>1</v>
      </c>
      <c r="V25" s="95">
        <f>P$28</f>
        <v>1</v>
      </c>
      <c r="W25" s="95">
        <f>P$32</f>
        <v>1</v>
      </c>
      <c r="X25" s="94">
        <f>P$16</f>
        <v>0</v>
      </c>
      <c r="Y25" s="95">
        <f>P$18</f>
        <v>0</v>
      </c>
      <c r="Z25" s="95">
        <f>P$34</f>
        <v>1</v>
      </c>
      <c r="AA25" s="95">
        <f>P$30</f>
        <v>1</v>
      </c>
      <c r="AB25" s="94">
        <f>P$14</f>
        <v>0</v>
      </c>
      <c r="AC25" s="38"/>
      <c r="AD25" s="33"/>
      <c r="AE25" s="29"/>
      <c r="AF25" s="93">
        <f>K$12</f>
        <v>1</v>
      </c>
      <c r="AG25" s="95">
        <f>K$28</f>
        <v>1</v>
      </c>
      <c r="AH25" s="95">
        <f>K$32</f>
        <v>1</v>
      </c>
      <c r="AI25" s="94">
        <f>K$16</f>
        <v>1</v>
      </c>
      <c r="AJ25" s="95">
        <f>K$18</f>
        <v>1</v>
      </c>
      <c r="AK25" s="95">
        <f>K$34</f>
        <v>1</v>
      </c>
      <c r="AL25" s="95">
        <f>K$30</f>
        <v>1</v>
      </c>
      <c r="AM25" s="94">
        <f>K$14</f>
        <v>1</v>
      </c>
      <c r="AN25" s="38"/>
      <c r="AP25" s="48">
        <v>18</v>
      </c>
      <c r="AQ25" s="160" t="s">
        <v>26</v>
      </c>
      <c r="AR25" t="s">
        <v>82</v>
      </c>
      <c r="AS25" t="s">
        <v>130</v>
      </c>
      <c r="AT25" s="125" t="s">
        <v>58</v>
      </c>
      <c r="AY25" s="47">
        <v>1</v>
      </c>
      <c r="AZ25" s="48">
        <v>0</v>
      </c>
      <c r="BA25" s="48">
        <v>0</v>
      </c>
      <c r="BB25" s="48">
        <v>1</v>
      </c>
      <c r="BC25" s="48">
        <v>1</v>
      </c>
      <c r="BD25" s="47"/>
      <c r="BE25" s="49"/>
      <c r="BF25" s="63"/>
      <c r="BG25" s="63"/>
      <c r="BH25" s="63"/>
      <c r="BI25" s="63">
        <v>1</v>
      </c>
      <c r="BJ25" s="63">
        <v>1</v>
      </c>
      <c r="BK25" s="63">
        <v>1</v>
      </c>
      <c r="BL25" s="63"/>
      <c r="BM25" s="51">
        <v>1</v>
      </c>
      <c r="BN25" t="s">
        <v>35</v>
      </c>
    </row>
    <row r="26" spans="2:66" x14ac:dyDescent="0.25">
      <c r="B26" s="52"/>
      <c r="C26" s="52"/>
      <c r="D26" s="52"/>
      <c r="E26" s="92">
        <v>1</v>
      </c>
      <c r="F26" s="43">
        <v>1</v>
      </c>
      <c r="G26" s="92">
        <v>1</v>
      </c>
      <c r="H26" s="44"/>
      <c r="I26" s="87"/>
      <c r="J26" s="43"/>
      <c r="K26" s="43">
        <v>1</v>
      </c>
      <c r="L26" s="43">
        <v>1</v>
      </c>
      <c r="M26" s="43"/>
      <c r="N26" s="43">
        <v>1</v>
      </c>
      <c r="O26" s="43"/>
      <c r="P26" s="78">
        <v>1</v>
      </c>
      <c r="Q26" s="43"/>
      <c r="R26" s="77"/>
      <c r="T26" s="320" t="s">
        <v>1</v>
      </c>
      <c r="U26" s="72">
        <f>P$20</f>
        <v>0</v>
      </c>
      <c r="V26" s="71">
        <f>P$36</f>
        <v>1</v>
      </c>
      <c r="W26" s="71">
        <f>P$40</f>
        <v>1</v>
      </c>
      <c r="X26" s="73">
        <f>P$24</f>
        <v>0</v>
      </c>
      <c r="Y26" s="99">
        <f>P$26</f>
        <v>1</v>
      </c>
      <c r="Z26" s="100">
        <f>P$42</f>
        <v>1</v>
      </c>
      <c r="AA26" s="100">
        <f>P$38</f>
        <v>1</v>
      </c>
      <c r="AB26" s="101">
        <f>P$22</f>
        <v>1</v>
      </c>
      <c r="AC26" s="39"/>
      <c r="AD26" s="33"/>
      <c r="AE26" s="320" t="s">
        <v>1</v>
      </c>
      <c r="AF26" s="72">
        <f>K$20</f>
        <v>1</v>
      </c>
      <c r="AG26" s="71">
        <f>K$36</f>
        <v>1</v>
      </c>
      <c r="AH26" s="71">
        <f>K$40</f>
        <v>0</v>
      </c>
      <c r="AI26" s="73">
        <f>K$24</f>
        <v>1</v>
      </c>
      <c r="AJ26" s="71">
        <f>K$26</f>
        <v>1</v>
      </c>
      <c r="AK26" s="71">
        <f>K$42</f>
        <v>1</v>
      </c>
      <c r="AL26" s="71">
        <f>K$38</f>
        <v>1</v>
      </c>
      <c r="AM26" s="73">
        <f>K$22</f>
        <v>1</v>
      </c>
      <c r="AN26" s="39"/>
      <c r="AP26" s="48">
        <v>19</v>
      </c>
      <c r="AQ26" s="160" t="s">
        <v>27</v>
      </c>
      <c r="AR26" t="s">
        <v>72</v>
      </c>
      <c r="AS26" t="s">
        <v>130</v>
      </c>
      <c r="AT26" s="126" t="s">
        <v>57</v>
      </c>
      <c r="AY26" s="47">
        <v>1</v>
      </c>
      <c r="AZ26" s="48">
        <v>0</v>
      </c>
      <c r="BA26" s="48">
        <v>1</v>
      </c>
      <c r="BB26" s="48">
        <v>0</v>
      </c>
      <c r="BC26" s="48">
        <v>0</v>
      </c>
      <c r="BD26" s="47"/>
      <c r="BE26" s="49"/>
      <c r="BF26" s="63"/>
      <c r="BG26" s="63"/>
      <c r="BH26" s="63">
        <v>1</v>
      </c>
      <c r="BI26" s="63">
        <v>1</v>
      </c>
      <c r="BJ26" s="63"/>
      <c r="BK26" s="63">
        <v>1</v>
      </c>
      <c r="BL26" s="63"/>
      <c r="BM26" s="51"/>
      <c r="BN26" t="s">
        <v>41</v>
      </c>
    </row>
    <row r="27" spans="2:66" x14ac:dyDescent="0.25">
      <c r="B27" s="53"/>
      <c r="C27" s="53"/>
      <c r="D27" s="53"/>
      <c r="E27" s="70">
        <v>1</v>
      </c>
      <c r="F27" s="54">
        <v>1</v>
      </c>
      <c r="G27" s="70">
        <v>1</v>
      </c>
      <c r="H27" s="55">
        <v>1</v>
      </c>
      <c r="I27" s="170">
        <v>0</v>
      </c>
      <c r="J27" s="54"/>
      <c r="K27" s="54">
        <v>1</v>
      </c>
      <c r="L27" s="54">
        <v>1</v>
      </c>
      <c r="M27" s="54"/>
      <c r="N27" s="54">
        <v>1</v>
      </c>
      <c r="O27" s="54"/>
      <c r="P27" s="171">
        <v>1</v>
      </c>
      <c r="Q27" s="54"/>
      <c r="R27" s="97"/>
      <c r="T27" s="320"/>
      <c r="U27" s="72">
        <f>P$21</f>
        <v>0</v>
      </c>
      <c r="V27" s="71">
        <f>P$37</f>
        <v>1</v>
      </c>
      <c r="W27" s="71">
        <f>P$41</f>
        <v>1</v>
      </c>
      <c r="X27" s="73">
        <f>P$25</f>
        <v>0</v>
      </c>
      <c r="Y27" s="71">
        <f>P$27</f>
        <v>1</v>
      </c>
      <c r="Z27" s="71">
        <f>P$43</f>
        <v>1</v>
      </c>
      <c r="AA27" s="71">
        <f>P$39</f>
        <v>0</v>
      </c>
      <c r="AB27" s="73">
        <f>P$23</f>
        <v>0</v>
      </c>
      <c r="AC27" s="319" t="s">
        <v>19</v>
      </c>
      <c r="AD27" s="33"/>
      <c r="AE27" s="320"/>
      <c r="AF27" s="72">
        <f>K$21</f>
        <v>1</v>
      </c>
      <c r="AG27" s="71">
        <f>K$37</f>
        <v>1</v>
      </c>
      <c r="AH27" s="71">
        <f>K$41</f>
        <v>0</v>
      </c>
      <c r="AI27" s="73">
        <f>K$25</f>
        <v>1</v>
      </c>
      <c r="AJ27" s="71">
        <f>K$27</f>
        <v>1</v>
      </c>
      <c r="AK27" s="71">
        <f>K$43</f>
        <v>1</v>
      </c>
      <c r="AL27" s="71">
        <f>K$39</f>
        <v>1</v>
      </c>
      <c r="AM27" s="73">
        <f>K$23</f>
        <v>1</v>
      </c>
      <c r="AN27" s="319" t="s">
        <v>19</v>
      </c>
      <c r="AP27" s="48">
        <v>20</v>
      </c>
      <c r="AQ27" s="160" t="s">
        <v>28</v>
      </c>
      <c r="AR27" t="s">
        <v>79</v>
      </c>
      <c r="AS27" t="s">
        <v>130</v>
      </c>
      <c r="AT27" s="126" t="s">
        <v>56</v>
      </c>
      <c r="AY27" s="47">
        <v>1</v>
      </c>
      <c r="AZ27" s="48">
        <v>0</v>
      </c>
      <c r="BA27" s="48">
        <v>1</v>
      </c>
      <c r="BB27" s="48">
        <v>0</v>
      </c>
      <c r="BC27" s="48">
        <v>1</v>
      </c>
      <c r="BD27" s="47"/>
      <c r="BE27" s="49"/>
      <c r="BF27" s="63"/>
      <c r="BG27" s="63"/>
      <c r="BH27" s="63">
        <v>1</v>
      </c>
      <c r="BI27" s="63">
        <v>1</v>
      </c>
      <c r="BJ27" s="63"/>
      <c r="BK27" s="63">
        <v>1</v>
      </c>
      <c r="BL27" s="63"/>
      <c r="BM27" s="51"/>
      <c r="BN27" t="s">
        <v>41</v>
      </c>
    </row>
    <row r="28" spans="2:66" x14ac:dyDescent="0.25">
      <c r="B28" s="47"/>
      <c r="C28" s="47"/>
      <c r="D28" s="47">
        <v>1</v>
      </c>
      <c r="E28" s="48"/>
      <c r="F28" s="48"/>
      <c r="G28" s="48"/>
      <c r="H28" s="49"/>
      <c r="I28" s="85"/>
      <c r="J28" s="48"/>
      <c r="K28" s="48">
        <v>1</v>
      </c>
      <c r="L28" s="48"/>
      <c r="M28" s="48">
        <v>1</v>
      </c>
      <c r="N28" s="48">
        <v>1</v>
      </c>
      <c r="O28" s="48"/>
      <c r="P28" s="48">
        <v>1</v>
      </c>
      <c r="Q28" s="48"/>
      <c r="R28" s="49"/>
      <c r="T28" s="36"/>
      <c r="U28" s="37">
        <f>P$13</f>
        <v>0</v>
      </c>
      <c r="V28" s="34">
        <f>P$29</f>
        <v>1</v>
      </c>
      <c r="W28" s="34">
        <f>P$33</f>
        <v>1</v>
      </c>
      <c r="X28" s="96">
        <f>P$17</f>
        <v>0</v>
      </c>
      <c r="Y28" s="34">
        <f>P$19</f>
        <v>0</v>
      </c>
      <c r="Z28" s="34">
        <f>P$35</f>
        <v>1</v>
      </c>
      <c r="AA28" s="34">
        <f>P$31</f>
        <v>1</v>
      </c>
      <c r="AB28" s="96">
        <f>P$15</f>
        <v>0</v>
      </c>
      <c r="AC28" s="319"/>
      <c r="AD28" s="33"/>
      <c r="AE28" s="36"/>
      <c r="AF28" s="37">
        <f>K$13</f>
        <v>1</v>
      </c>
      <c r="AG28" s="34">
        <f>K$29</f>
        <v>1</v>
      </c>
      <c r="AH28" s="34">
        <f>K$33</f>
        <v>1</v>
      </c>
      <c r="AI28" s="96">
        <f>K$17</f>
        <v>1</v>
      </c>
      <c r="AJ28" s="34">
        <f>K$19</f>
        <v>1</v>
      </c>
      <c r="AK28" s="34">
        <f>K$35</f>
        <v>1</v>
      </c>
      <c r="AL28" s="34">
        <f>K$31</f>
        <v>1</v>
      </c>
      <c r="AM28" s="96">
        <f>K$15</f>
        <v>1</v>
      </c>
      <c r="AN28" s="319"/>
      <c r="AP28" s="48">
        <v>21</v>
      </c>
      <c r="AQ28" s="160" t="s">
        <v>29</v>
      </c>
      <c r="AR28" t="s">
        <v>67</v>
      </c>
      <c r="AS28" t="s">
        <v>130</v>
      </c>
      <c r="AT28" s="125" t="s">
        <v>55</v>
      </c>
      <c r="AY28" s="47">
        <v>1</v>
      </c>
      <c r="AZ28" s="48">
        <v>0</v>
      </c>
      <c r="BA28" s="48">
        <v>1</v>
      </c>
      <c r="BB28" s="48">
        <v>1</v>
      </c>
      <c r="BC28" s="48">
        <v>0</v>
      </c>
      <c r="BD28" s="47"/>
      <c r="BE28" s="49"/>
      <c r="BF28" s="63"/>
      <c r="BG28" s="63"/>
      <c r="BH28" s="63"/>
      <c r="BI28" s="63">
        <v>1</v>
      </c>
      <c r="BJ28" s="63">
        <v>1</v>
      </c>
      <c r="BK28" s="63">
        <v>1</v>
      </c>
      <c r="BL28" s="63"/>
      <c r="BM28" s="51"/>
      <c r="BN28" t="s">
        <v>34</v>
      </c>
    </row>
    <row r="29" spans="2:66" x14ac:dyDescent="0.25">
      <c r="B29" s="47"/>
      <c r="C29" s="47"/>
      <c r="D29" s="47">
        <v>1</v>
      </c>
      <c r="E29" s="48"/>
      <c r="F29" s="48"/>
      <c r="G29" s="48"/>
      <c r="H29" s="49">
        <v>1</v>
      </c>
      <c r="I29" s="85">
        <v>1</v>
      </c>
      <c r="J29" s="48"/>
      <c r="K29" s="48">
        <v>1</v>
      </c>
      <c r="L29" s="48">
        <v>1</v>
      </c>
      <c r="M29" s="48">
        <v>1</v>
      </c>
      <c r="N29" s="48"/>
      <c r="O29" s="48"/>
      <c r="P29" s="48">
        <v>1</v>
      </c>
      <c r="Q29" s="48"/>
      <c r="R29" s="49"/>
      <c r="T29" s="29"/>
      <c r="U29" s="31"/>
      <c r="V29" s="1"/>
      <c r="W29" s="326" t="s">
        <v>33</v>
      </c>
      <c r="X29" s="326"/>
      <c r="Y29" s="326"/>
      <c r="Z29" s="326"/>
      <c r="AA29" s="1"/>
      <c r="AB29" s="31"/>
      <c r="AC29" s="30"/>
      <c r="AD29" s="33"/>
      <c r="AE29" s="29"/>
      <c r="AF29" s="31"/>
      <c r="AG29" s="1"/>
      <c r="AH29" s="326" t="s">
        <v>33</v>
      </c>
      <c r="AI29" s="326"/>
      <c r="AJ29" s="326"/>
      <c r="AK29" s="326"/>
      <c r="AL29" s="1"/>
      <c r="AM29" s="31"/>
      <c r="AN29" s="30"/>
      <c r="AP29" s="48">
        <v>22</v>
      </c>
      <c r="AQ29" s="160" t="s">
        <v>30</v>
      </c>
      <c r="AR29" t="s">
        <v>68</v>
      </c>
      <c r="AS29" t="s">
        <v>130</v>
      </c>
      <c r="AT29" s="125" t="s">
        <v>61</v>
      </c>
      <c r="AY29" s="47">
        <v>1</v>
      </c>
      <c r="AZ29" s="48">
        <v>0</v>
      </c>
      <c r="BA29" s="48">
        <v>1</v>
      </c>
      <c r="BB29" s="48">
        <v>1</v>
      </c>
      <c r="BC29" s="48">
        <v>1</v>
      </c>
      <c r="BD29" s="47"/>
      <c r="BE29" s="49"/>
      <c r="BF29" s="63"/>
      <c r="BG29" s="63"/>
      <c r="BH29" s="63"/>
      <c r="BI29" s="63">
        <v>1</v>
      </c>
      <c r="BJ29" s="63">
        <v>1</v>
      </c>
      <c r="BK29" s="63">
        <v>1</v>
      </c>
      <c r="BL29" s="63"/>
      <c r="BM29" s="51">
        <v>1</v>
      </c>
      <c r="BN29" t="s">
        <v>35</v>
      </c>
    </row>
    <row r="30" spans="2:66" x14ac:dyDescent="0.25">
      <c r="B30" s="47"/>
      <c r="C30" s="47"/>
      <c r="D30" s="47">
        <v>1</v>
      </c>
      <c r="E30" s="48"/>
      <c r="F30" s="48"/>
      <c r="G30" s="48">
        <v>1</v>
      </c>
      <c r="H30" s="49"/>
      <c r="I30" s="85"/>
      <c r="J30" s="48"/>
      <c r="K30" s="48">
        <v>1</v>
      </c>
      <c r="L30" s="48">
        <v>1</v>
      </c>
      <c r="M30" s="48">
        <v>1</v>
      </c>
      <c r="N30" s="48"/>
      <c r="O30" s="48"/>
      <c r="P30" s="48">
        <v>1</v>
      </c>
      <c r="Q30" s="48"/>
      <c r="R30" s="49">
        <v>1</v>
      </c>
      <c r="T30" s="37"/>
      <c r="U30" s="34"/>
      <c r="V30" s="35"/>
      <c r="W30" s="35"/>
      <c r="X30" s="34"/>
      <c r="Y30" s="324" t="s">
        <v>0</v>
      </c>
      <c r="Z30" s="324"/>
      <c r="AA30" s="324"/>
      <c r="AB30" s="324"/>
      <c r="AC30" s="32"/>
      <c r="AD30" s="33"/>
      <c r="AE30" s="37"/>
      <c r="AF30" s="34"/>
      <c r="AG30" s="35"/>
      <c r="AH30" s="35"/>
      <c r="AI30" s="34"/>
      <c r="AJ30" s="324" t="s">
        <v>0</v>
      </c>
      <c r="AK30" s="324"/>
      <c r="AL30" s="324"/>
      <c r="AM30" s="324"/>
      <c r="AN30" s="32"/>
      <c r="AP30" s="48">
        <v>23</v>
      </c>
      <c r="AQ30" s="160" t="s">
        <v>31</v>
      </c>
      <c r="AR30" t="s">
        <v>80</v>
      </c>
      <c r="AS30" t="s">
        <v>130</v>
      </c>
      <c r="AT30" s="126" t="s">
        <v>63</v>
      </c>
      <c r="AY30" s="47">
        <v>1</v>
      </c>
      <c r="AZ30" s="48">
        <v>1</v>
      </c>
      <c r="BA30" s="48">
        <v>0</v>
      </c>
      <c r="BB30" s="48">
        <v>0</v>
      </c>
      <c r="BC30" s="48">
        <v>0</v>
      </c>
      <c r="BD30" s="47"/>
      <c r="BE30" s="49"/>
      <c r="BF30" s="63"/>
      <c r="BG30" s="63"/>
      <c r="BH30" s="63"/>
      <c r="BI30" s="63">
        <v>1</v>
      </c>
      <c r="BJ30" s="63">
        <v>1</v>
      </c>
      <c r="BK30" s="63">
        <v>1</v>
      </c>
      <c r="BL30" s="63"/>
      <c r="BM30" s="51"/>
      <c r="BN30" t="s">
        <v>34</v>
      </c>
    </row>
    <row r="31" spans="2:66" x14ac:dyDescent="0.25">
      <c r="B31" s="53"/>
      <c r="C31" s="53"/>
      <c r="D31" s="53">
        <v>1</v>
      </c>
      <c r="E31" s="54"/>
      <c r="F31" s="54"/>
      <c r="G31" s="54">
        <v>1</v>
      </c>
      <c r="H31" s="55">
        <v>1</v>
      </c>
      <c r="I31" s="85">
        <v>1</v>
      </c>
      <c r="J31" s="48"/>
      <c r="K31" s="48">
        <v>1</v>
      </c>
      <c r="L31" s="48">
        <v>1</v>
      </c>
      <c r="M31" s="48">
        <v>1</v>
      </c>
      <c r="N31" s="48"/>
      <c r="O31" s="48"/>
      <c r="P31" s="48">
        <v>1</v>
      </c>
      <c r="Q31" s="48"/>
      <c r="R31" s="49">
        <v>1</v>
      </c>
      <c r="T31" s="25"/>
      <c r="U31" s="25"/>
      <c r="V31" s="25"/>
      <c r="W31" s="25"/>
      <c r="X31" s="42" t="str">
        <f>$O$11</f>
        <v>O3</v>
      </c>
      <c r="Y31" s="25"/>
      <c r="Z31" s="25"/>
      <c r="AA31" s="25"/>
      <c r="AB31" s="25"/>
      <c r="AC31" s="25"/>
      <c r="AD31" s="33"/>
      <c r="AE31" s="25"/>
      <c r="AF31" s="25"/>
      <c r="AG31" s="25"/>
      <c r="AH31" s="25"/>
      <c r="AI31" s="42" t="str">
        <f>$J$11</f>
        <v>O6</v>
      </c>
      <c r="AJ31" s="25"/>
      <c r="AK31" s="25"/>
      <c r="AL31" s="25"/>
      <c r="AM31" s="25"/>
      <c r="AN31" s="25"/>
      <c r="AP31" s="122"/>
      <c r="AQ31" s="122"/>
      <c r="AT31" s="122"/>
      <c r="AY31" s="47">
        <v>1</v>
      </c>
      <c r="AZ31" s="48">
        <v>1</v>
      </c>
      <c r="BA31" s="48">
        <v>0</v>
      </c>
      <c r="BB31" s="48">
        <v>0</v>
      </c>
      <c r="BC31" s="48">
        <v>1</v>
      </c>
      <c r="BD31" s="47"/>
      <c r="BE31" s="49"/>
      <c r="BF31" s="63"/>
      <c r="BG31" s="63"/>
      <c r="BH31" s="63"/>
      <c r="BI31" s="63">
        <v>1</v>
      </c>
      <c r="BJ31" s="63">
        <v>1</v>
      </c>
      <c r="BK31" s="63">
        <v>1</v>
      </c>
      <c r="BL31" s="63"/>
      <c r="BM31" s="51">
        <v>1</v>
      </c>
      <c r="BN31" t="s">
        <v>35</v>
      </c>
    </row>
    <row r="32" spans="2:66" x14ac:dyDescent="0.25">
      <c r="B32" s="52"/>
      <c r="C32" s="52"/>
      <c r="D32" s="52">
        <v>1</v>
      </c>
      <c r="E32" s="43"/>
      <c r="F32" s="43">
        <v>1</v>
      </c>
      <c r="G32" s="43"/>
      <c r="H32" s="44"/>
      <c r="I32" s="85"/>
      <c r="J32" s="48"/>
      <c r="K32" s="48">
        <v>1</v>
      </c>
      <c r="L32" s="48"/>
      <c r="M32" s="48">
        <v>1</v>
      </c>
      <c r="N32" s="48">
        <v>1</v>
      </c>
      <c r="O32" s="48"/>
      <c r="P32" s="48">
        <v>1</v>
      </c>
      <c r="Q32" s="48"/>
      <c r="R32" s="49"/>
      <c r="T32" s="26"/>
      <c r="U32" s="27"/>
      <c r="V32" s="323" t="s">
        <v>8</v>
      </c>
      <c r="W32" s="323"/>
      <c r="X32" s="41"/>
      <c r="Y32" s="27"/>
      <c r="Z32" s="323" t="s">
        <v>8</v>
      </c>
      <c r="AA32" s="323"/>
      <c r="AB32" s="40"/>
      <c r="AC32" s="28"/>
      <c r="AD32" s="33"/>
      <c r="AE32" s="26"/>
      <c r="AF32" s="27"/>
      <c r="AG32" s="323" t="s">
        <v>8</v>
      </c>
      <c r="AH32" s="323"/>
      <c r="AI32" s="41"/>
      <c r="AJ32" s="27"/>
      <c r="AK32" s="323" t="s">
        <v>8</v>
      </c>
      <c r="AL32" s="323"/>
      <c r="AM32" s="40"/>
      <c r="AN32" s="28"/>
      <c r="AP32" s="167" t="s">
        <v>129</v>
      </c>
      <c r="AQ32" s="166" t="s">
        <v>7</v>
      </c>
      <c r="AR32" s="165" t="s">
        <v>133</v>
      </c>
      <c r="AT32" s="122"/>
      <c r="AY32" s="47">
        <v>1</v>
      </c>
      <c r="AZ32" s="48">
        <v>1</v>
      </c>
      <c r="BA32" s="48">
        <v>0</v>
      </c>
      <c r="BB32" s="48">
        <v>1</v>
      </c>
      <c r="BC32" s="48">
        <v>0</v>
      </c>
      <c r="BD32" s="47"/>
      <c r="BE32" s="49"/>
      <c r="BF32" s="63"/>
      <c r="BG32" s="63"/>
      <c r="BH32" s="63"/>
      <c r="BI32" s="63">
        <v>1</v>
      </c>
      <c r="BJ32" s="63">
        <v>1</v>
      </c>
      <c r="BK32" s="63">
        <v>1</v>
      </c>
      <c r="BL32" s="63"/>
      <c r="BM32" s="51"/>
      <c r="BN32" t="s">
        <v>34</v>
      </c>
    </row>
    <row r="33" spans="2:69" x14ac:dyDescent="0.25">
      <c r="B33" s="47"/>
      <c r="C33" s="47"/>
      <c r="D33" s="47">
        <v>1</v>
      </c>
      <c r="E33" s="48"/>
      <c r="F33" s="48">
        <v>1</v>
      </c>
      <c r="G33" s="48"/>
      <c r="H33" s="49">
        <v>1</v>
      </c>
      <c r="I33" s="85"/>
      <c r="J33" s="48"/>
      <c r="K33" s="48">
        <v>1</v>
      </c>
      <c r="L33" s="48"/>
      <c r="M33" s="48">
        <v>1</v>
      </c>
      <c r="N33" s="48">
        <v>1</v>
      </c>
      <c r="O33" s="48"/>
      <c r="P33" s="48">
        <v>1</v>
      </c>
      <c r="Q33" s="48"/>
      <c r="R33" s="49"/>
      <c r="T33" s="29"/>
      <c r="U33" s="93">
        <f>O$12</f>
        <v>0</v>
      </c>
      <c r="V33" s="95">
        <f>O$28</f>
        <v>0</v>
      </c>
      <c r="W33" s="95">
        <f>O$32</f>
        <v>0</v>
      </c>
      <c r="X33" s="94">
        <f>O$16</f>
        <v>0</v>
      </c>
      <c r="Y33" s="95">
        <f>O$18</f>
        <v>0</v>
      </c>
      <c r="Z33" s="95">
        <f>O$34</f>
        <v>0</v>
      </c>
      <c r="AA33" s="95">
        <f>O$30</f>
        <v>0</v>
      </c>
      <c r="AB33" s="94">
        <f>O$14</f>
        <v>0</v>
      </c>
      <c r="AC33" s="38"/>
      <c r="AD33" s="33"/>
      <c r="AE33" s="29"/>
      <c r="AF33" s="93">
        <f>J$12</f>
        <v>0</v>
      </c>
      <c r="AG33" s="95">
        <f>J$28</f>
        <v>0</v>
      </c>
      <c r="AH33" s="95">
        <f>J$32</f>
        <v>0</v>
      </c>
      <c r="AI33" s="94">
        <f>J$16</f>
        <v>0</v>
      </c>
      <c r="AJ33" s="95">
        <f>J$18</f>
        <v>0</v>
      </c>
      <c r="AK33" s="95">
        <f>J$34</f>
        <v>0</v>
      </c>
      <c r="AL33" s="95">
        <f>J$30</f>
        <v>0</v>
      </c>
      <c r="AM33" s="94">
        <f>J$14</f>
        <v>0</v>
      </c>
      <c r="AN33" s="38"/>
      <c r="AP33" s="48" t="s">
        <v>22</v>
      </c>
      <c r="AQ33" s="160" t="s">
        <v>27</v>
      </c>
      <c r="AR33" t="s">
        <v>128</v>
      </c>
      <c r="AS33" t="s">
        <v>130</v>
      </c>
      <c r="AT33" s="126" t="s">
        <v>64</v>
      </c>
      <c r="AY33" s="47">
        <v>1</v>
      </c>
      <c r="AZ33" s="48">
        <v>1</v>
      </c>
      <c r="BA33" s="48">
        <v>0</v>
      </c>
      <c r="BB33" s="48">
        <v>1</v>
      </c>
      <c r="BC33" s="48">
        <v>1</v>
      </c>
      <c r="BD33" s="47"/>
      <c r="BE33" s="49"/>
      <c r="BF33" s="63"/>
      <c r="BG33" s="63"/>
      <c r="BH33" s="63"/>
      <c r="BI33" s="63">
        <v>1</v>
      </c>
      <c r="BJ33" s="63">
        <v>1</v>
      </c>
      <c r="BK33" s="63">
        <v>1</v>
      </c>
      <c r="BL33" s="63"/>
      <c r="BM33" s="51">
        <v>1</v>
      </c>
      <c r="BN33" t="s">
        <v>35</v>
      </c>
    </row>
    <row r="34" spans="2:69" x14ac:dyDescent="0.25">
      <c r="B34" s="47"/>
      <c r="C34" s="47"/>
      <c r="D34" s="47">
        <v>1</v>
      </c>
      <c r="E34" s="48"/>
      <c r="F34" s="48">
        <v>1</v>
      </c>
      <c r="G34" s="48">
        <v>1</v>
      </c>
      <c r="H34" s="49"/>
      <c r="I34" s="85"/>
      <c r="J34" s="48"/>
      <c r="K34" s="48">
        <v>1</v>
      </c>
      <c r="L34" s="48">
        <v>1</v>
      </c>
      <c r="M34" s="48">
        <v>1</v>
      </c>
      <c r="N34" s="48"/>
      <c r="O34" s="48"/>
      <c r="P34" s="48">
        <v>1</v>
      </c>
      <c r="Q34" s="48"/>
      <c r="R34" s="49">
        <v>1</v>
      </c>
      <c r="T34" s="320" t="s">
        <v>1</v>
      </c>
      <c r="U34" s="72">
        <f>O$20</f>
        <v>0</v>
      </c>
      <c r="V34" s="71">
        <f>O$36</f>
        <v>0</v>
      </c>
      <c r="W34" s="71">
        <f>O$40</f>
        <v>0</v>
      </c>
      <c r="X34" s="73">
        <f>O$24</f>
        <v>0</v>
      </c>
      <c r="Y34" s="71">
        <f>O$26</f>
        <v>0</v>
      </c>
      <c r="Z34" s="71">
        <f>O$42</f>
        <v>0</v>
      </c>
      <c r="AA34" s="71">
        <f>O$38</f>
        <v>0</v>
      </c>
      <c r="AB34" s="73">
        <f>O$22</f>
        <v>0</v>
      </c>
      <c r="AC34" s="39"/>
      <c r="AD34" s="33"/>
      <c r="AE34" s="320" t="s">
        <v>1</v>
      </c>
      <c r="AF34" s="72">
        <f>J$20</f>
        <v>0</v>
      </c>
      <c r="AG34" s="71">
        <f>J$36</f>
        <v>0</v>
      </c>
      <c r="AH34" s="71">
        <f>J$40</f>
        <v>1</v>
      </c>
      <c r="AI34" s="73">
        <f>J$24</f>
        <v>0</v>
      </c>
      <c r="AJ34" s="71">
        <f>J$26</f>
        <v>0</v>
      </c>
      <c r="AK34" s="71">
        <f>J$42</f>
        <v>0</v>
      </c>
      <c r="AL34" s="71">
        <f>J$38</f>
        <v>0</v>
      </c>
      <c r="AM34" s="73">
        <f>J$22</f>
        <v>0</v>
      </c>
      <c r="AN34" s="39"/>
      <c r="AP34" s="48" t="s">
        <v>23</v>
      </c>
      <c r="AQ34" s="160" t="s">
        <v>22</v>
      </c>
      <c r="AR34" t="s">
        <v>81</v>
      </c>
      <c r="AS34" t="s">
        <v>130</v>
      </c>
      <c r="AT34" s="126" t="s">
        <v>60</v>
      </c>
      <c r="AY34" s="47">
        <v>1</v>
      </c>
      <c r="AZ34" s="48">
        <v>1</v>
      </c>
      <c r="BA34" s="48">
        <v>1</v>
      </c>
      <c r="BB34" s="48">
        <v>0</v>
      </c>
      <c r="BC34" s="48">
        <v>0</v>
      </c>
      <c r="BD34" s="47"/>
      <c r="BE34" s="49"/>
      <c r="BF34" s="63"/>
      <c r="BG34" s="63"/>
      <c r="BH34" s="63"/>
      <c r="BI34" s="63"/>
      <c r="BJ34" s="63">
        <v>1</v>
      </c>
      <c r="BK34" s="63"/>
      <c r="BL34" s="63">
        <v>1</v>
      </c>
      <c r="BM34" s="51"/>
      <c r="BN34" t="s">
        <v>42</v>
      </c>
    </row>
    <row r="35" spans="2:69" ht="15" customHeight="1" x14ac:dyDescent="0.25">
      <c r="B35" s="53"/>
      <c r="C35" s="53"/>
      <c r="D35" s="53">
        <v>1</v>
      </c>
      <c r="E35" s="54"/>
      <c r="F35" s="54">
        <v>1</v>
      </c>
      <c r="G35" s="54">
        <v>1</v>
      </c>
      <c r="H35" s="55">
        <v>1</v>
      </c>
      <c r="I35" s="85">
        <v>1</v>
      </c>
      <c r="J35" s="48"/>
      <c r="K35" s="48">
        <v>1</v>
      </c>
      <c r="L35" s="48">
        <v>1</v>
      </c>
      <c r="M35" s="48">
        <v>1</v>
      </c>
      <c r="N35" s="48"/>
      <c r="O35" s="48"/>
      <c r="P35" s="48">
        <v>1</v>
      </c>
      <c r="Q35" s="48"/>
      <c r="R35" s="49">
        <v>1</v>
      </c>
      <c r="T35" s="320"/>
      <c r="U35" s="72">
        <f>O$21</f>
        <v>0</v>
      </c>
      <c r="V35" s="71">
        <f>O$37</f>
        <v>0</v>
      </c>
      <c r="W35" s="71">
        <f>O$41</f>
        <v>1</v>
      </c>
      <c r="X35" s="73">
        <f>O$25</f>
        <v>0</v>
      </c>
      <c r="Y35" s="71">
        <f>O$27</f>
        <v>0</v>
      </c>
      <c r="Z35" s="71">
        <f>O$43</f>
        <v>0</v>
      </c>
      <c r="AA35" s="71">
        <f>O$39</f>
        <v>0</v>
      </c>
      <c r="AB35" s="73">
        <f>O$23</f>
        <v>0</v>
      </c>
      <c r="AC35" s="319" t="s">
        <v>19</v>
      </c>
      <c r="AD35" s="33"/>
      <c r="AE35" s="320"/>
      <c r="AF35" s="72">
        <f>J$21</f>
        <v>0</v>
      </c>
      <c r="AG35" s="71">
        <f>J$37</f>
        <v>0</v>
      </c>
      <c r="AH35" s="71">
        <f>J$41</f>
        <v>1</v>
      </c>
      <c r="AI35" s="73">
        <f>J$25</f>
        <v>0</v>
      </c>
      <c r="AJ35" s="71">
        <f>J$27</f>
        <v>0</v>
      </c>
      <c r="AK35" s="71">
        <f>J$43</f>
        <v>0</v>
      </c>
      <c r="AL35" s="71">
        <f>J$39</f>
        <v>0</v>
      </c>
      <c r="AM35" s="73">
        <f>J$23</f>
        <v>0</v>
      </c>
      <c r="AN35" s="319" t="s">
        <v>19</v>
      </c>
      <c r="AP35" s="48" t="s">
        <v>24</v>
      </c>
      <c r="AQ35" s="160" t="s">
        <v>30</v>
      </c>
      <c r="AR35" s="24" t="s">
        <v>125</v>
      </c>
      <c r="AS35" t="s">
        <v>130</v>
      </c>
      <c r="AT35" s="126" t="s">
        <v>62</v>
      </c>
      <c r="AY35" s="47">
        <v>1</v>
      </c>
      <c r="AZ35" s="48">
        <v>1</v>
      </c>
      <c r="BA35" s="48">
        <v>1</v>
      </c>
      <c r="BB35" s="48">
        <v>0</v>
      </c>
      <c r="BC35" s="48">
        <v>1</v>
      </c>
      <c r="BD35" s="47"/>
      <c r="BE35" s="49"/>
      <c r="BF35" s="63"/>
      <c r="BG35" s="63">
        <v>1</v>
      </c>
      <c r="BH35" s="63"/>
      <c r="BI35" s="63"/>
      <c r="BJ35" s="63">
        <v>1</v>
      </c>
      <c r="BK35" s="63"/>
      <c r="BL35" s="63">
        <v>1</v>
      </c>
      <c r="BM35" s="51"/>
      <c r="BN35" t="s">
        <v>43</v>
      </c>
    </row>
    <row r="36" spans="2:69" ht="15" customHeight="1" x14ac:dyDescent="0.25">
      <c r="B36" s="52"/>
      <c r="C36" s="52"/>
      <c r="D36" s="52">
        <v>1</v>
      </c>
      <c r="E36" s="92">
        <v>1</v>
      </c>
      <c r="F36" s="43"/>
      <c r="G36" s="43"/>
      <c r="H36" s="44"/>
      <c r="I36" s="85"/>
      <c r="J36" s="48"/>
      <c r="K36" s="48">
        <v>1</v>
      </c>
      <c r="L36" s="48">
        <v>1</v>
      </c>
      <c r="M36" s="48">
        <v>1</v>
      </c>
      <c r="N36" s="48"/>
      <c r="O36" s="48"/>
      <c r="P36" s="48">
        <v>1</v>
      </c>
      <c r="Q36" s="48"/>
      <c r="R36" s="49"/>
      <c r="T36" s="36"/>
      <c r="U36" s="37">
        <f>O$13</f>
        <v>0</v>
      </c>
      <c r="V36" s="34">
        <f>O$29</f>
        <v>0</v>
      </c>
      <c r="W36" s="34">
        <f>O$33</f>
        <v>0</v>
      </c>
      <c r="X36" s="96">
        <f>O$17</f>
        <v>0</v>
      </c>
      <c r="Y36" s="34">
        <f>O$19</f>
        <v>0</v>
      </c>
      <c r="Z36" s="34">
        <f>O$35</f>
        <v>0</v>
      </c>
      <c r="AA36" s="34">
        <f>O$31</f>
        <v>0</v>
      </c>
      <c r="AB36" s="96">
        <f>O$15</f>
        <v>0</v>
      </c>
      <c r="AC36" s="319"/>
      <c r="AD36" s="33"/>
      <c r="AE36" s="36"/>
      <c r="AF36" s="37">
        <f>J$13</f>
        <v>0</v>
      </c>
      <c r="AG36" s="34">
        <f>J$29</f>
        <v>0</v>
      </c>
      <c r="AH36" s="34">
        <f>J$33</f>
        <v>0</v>
      </c>
      <c r="AI36" s="96">
        <f>J$17</f>
        <v>0</v>
      </c>
      <c r="AJ36" s="34">
        <f>J$19</f>
        <v>0</v>
      </c>
      <c r="AK36" s="34">
        <f>J$35</f>
        <v>0</v>
      </c>
      <c r="AL36" s="34">
        <f>J$31</f>
        <v>0</v>
      </c>
      <c r="AM36" s="96">
        <f>J$15</f>
        <v>0</v>
      </c>
      <c r="AN36" s="319"/>
      <c r="AP36" s="48" t="s">
        <v>25</v>
      </c>
      <c r="AQ36" s="160" t="s">
        <v>25</v>
      </c>
      <c r="AR36" t="s">
        <v>66</v>
      </c>
      <c r="AS36" t="s">
        <v>130</v>
      </c>
      <c r="AT36" s="125" t="s">
        <v>59</v>
      </c>
      <c r="AY36" s="47">
        <v>1</v>
      </c>
      <c r="AZ36" s="48">
        <v>1</v>
      </c>
      <c r="BA36" s="48">
        <v>1</v>
      </c>
      <c r="BB36" s="48">
        <v>1</v>
      </c>
      <c r="BC36" s="48">
        <v>0</v>
      </c>
      <c r="BD36" s="47"/>
      <c r="BE36" s="49"/>
      <c r="BF36" s="63"/>
      <c r="BG36" s="63"/>
      <c r="BH36" s="63">
        <v>1</v>
      </c>
      <c r="BI36" s="63"/>
      <c r="BJ36" s="63">
        <v>1</v>
      </c>
      <c r="BK36" s="63">
        <v>1</v>
      </c>
      <c r="BL36" s="63"/>
      <c r="BM36" s="51"/>
      <c r="BN36" t="s">
        <v>39</v>
      </c>
    </row>
    <row r="37" spans="2:69" ht="15" customHeight="1" x14ac:dyDescent="0.25">
      <c r="B37" s="47"/>
      <c r="C37" s="47"/>
      <c r="D37" s="47">
        <v>1</v>
      </c>
      <c r="E37" s="69">
        <v>1</v>
      </c>
      <c r="F37" s="48"/>
      <c r="G37" s="48"/>
      <c r="H37" s="49">
        <v>1</v>
      </c>
      <c r="I37" s="85">
        <v>1</v>
      </c>
      <c r="J37" s="48"/>
      <c r="K37" s="48">
        <v>1</v>
      </c>
      <c r="L37" s="48">
        <v>1</v>
      </c>
      <c r="M37" s="48">
        <v>1</v>
      </c>
      <c r="N37" s="48"/>
      <c r="O37" s="48"/>
      <c r="P37" s="48">
        <v>1</v>
      </c>
      <c r="Q37" s="48"/>
      <c r="R37" s="49"/>
      <c r="T37" s="29"/>
      <c r="U37" s="31"/>
      <c r="V37" s="1"/>
      <c r="W37" s="326" t="s">
        <v>33</v>
      </c>
      <c r="X37" s="326"/>
      <c r="Y37" s="326"/>
      <c r="Z37" s="326"/>
      <c r="AA37" s="1"/>
      <c r="AB37" s="31"/>
      <c r="AC37" s="30"/>
      <c r="AD37" s="33"/>
      <c r="AE37" s="29"/>
      <c r="AF37" s="31"/>
      <c r="AG37" s="1"/>
      <c r="AH37" s="326" t="s">
        <v>33</v>
      </c>
      <c r="AI37" s="326"/>
      <c r="AJ37" s="326"/>
      <c r="AK37" s="326"/>
      <c r="AL37" s="1"/>
      <c r="AM37" s="31"/>
      <c r="AN37" s="30"/>
      <c r="AP37" s="48" t="s">
        <v>26</v>
      </c>
      <c r="AQ37" s="160" t="s">
        <v>23</v>
      </c>
      <c r="AR37" t="s">
        <v>82</v>
      </c>
      <c r="AS37" t="s">
        <v>130</v>
      </c>
      <c r="AT37" s="125" t="s">
        <v>58</v>
      </c>
      <c r="AY37" s="60">
        <v>1</v>
      </c>
      <c r="AZ37" s="54">
        <v>1</v>
      </c>
      <c r="BA37" s="54">
        <v>1</v>
      </c>
      <c r="BB37" s="54">
        <v>1</v>
      </c>
      <c r="BC37" s="54">
        <v>1</v>
      </c>
      <c r="BD37" s="53"/>
      <c r="BE37" s="55"/>
      <c r="BF37" s="64"/>
      <c r="BG37" s="64"/>
      <c r="BH37" s="64">
        <v>1</v>
      </c>
      <c r="BI37" s="64"/>
      <c r="BJ37" s="64">
        <v>1</v>
      </c>
      <c r="BK37" s="64">
        <v>1</v>
      </c>
      <c r="BL37" s="64"/>
      <c r="BM37" s="65">
        <v>1</v>
      </c>
      <c r="BN37" t="s">
        <v>40</v>
      </c>
    </row>
    <row r="38" spans="2:69" ht="15" customHeight="1" x14ac:dyDescent="0.25">
      <c r="B38" s="52"/>
      <c r="C38" s="52"/>
      <c r="D38" s="52">
        <v>1</v>
      </c>
      <c r="E38" s="92">
        <v>1</v>
      </c>
      <c r="F38" s="43"/>
      <c r="G38" s="92">
        <v>1</v>
      </c>
      <c r="H38" s="44"/>
      <c r="I38" s="87"/>
      <c r="J38" s="43"/>
      <c r="K38" s="43">
        <v>1</v>
      </c>
      <c r="L38" s="43">
        <v>1</v>
      </c>
      <c r="M38" s="43">
        <v>1</v>
      </c>
      <c r="N38" s="43"/>
      <c r="O38" s="43"/>
      <c r="P38" s="78">
        <v>1</v>
      </c>
      <c r="Q38" s="43"/>
      <c r="R38" s="77"/>
      <c r="T38" s="37"/>
      <c r="U38" s="34"/>
      <c r="V38" s="35"/>
      <c r="W38" s="35"/>
      <c r="X38" s="34"/>
      <c r="Y38" s="324" t="s">
        <v>0</v>
      </c>
      <c r="Z38" s="324"/>
      <c r="AA38" s="324"/>
      <c r="AB38" s="324"/>
      <c r="AC38" s="32"/>
      <c r="AD38" s="33"/>
      <c r="AE38" s="37"/>
      <c r="AF38" s="34"/>
      <c r="AG38" s="35"/>
      <c r="AH38" s="35"/>
      <c r="AI38" s="34"/>
      <c r="AJ38" s="324" t="s">
        <v>0</v>
      </c>
      <c r="AK38" s="324"/>
      <c r="AL38" s="324"/>
      <c r="AM38" s="324"/>
      <c r="AN38" s="32"/>
      <c r="AP38" s="48" t="s">
        <v>27</v>
      </c>
      <c r="AQ38" s="160" t="s">
        <v>26</v>
      </c>
      <c r="AR38" t="s">
        <v>72</v>
      </c>
      <c r="AS38" t="s">
        <v>130</v>
      </c>
      <c r="AT38" s="126" t="s">
        <v>57</v>
      </c>
    </row>
    <row r="39" spans="2:69" ht="15" customHeight="1" x14ac:dyDescent="0.25">
      <c r="B39" s="53"/>
      <c r="C39" s="53"/>
      <c r="D39" s="53">
        <v>1</v>
      </c>
      <c r="E39" s="70">
        <v>1</v>
      </c>
      <c r="F39" s="54"/>
      <c r="G39" s="70">
        <v>1</v>
      </c>
      <c r="H39" s="55">
        <v>1</v>
      </c>
      <c r="I39" s="88">
        <v>1</v>
      </c>
      <c r="J39" s="54"/>
      <c r="K39" s="54">
        <v>1</v>
      </c>
      <c r="L39" s="54">
        <v>1</v>
      </c>
      <c r="M39" s="54">
        <v>1</v>
      </c>
      <c r="N39" s="54"/>
      <c r="O39" s="54"/>
      <c r="P39" s="86">
        <v>0</v>
      </c>
      <c r="Q39" s="54"/>
      <c r="R39" s="97"/>
      <c r="T39" s="25"/>
      <c r="U39" s="25"/>
      <c r="V39" s="25"/>
      <c r="W39" s="25"/>
      <c r="X39" s="42" t="str">
        <f>$N$11</f>
        <v>O1</v>
      </c>
      <c r="Y39" s="25"/>
      <c r="Z39" s="25"/>
      <c r="AA39" s="25"/>
      <c r="AB39" s="25"/>
      <c r="AC39" s="25"/>
      <c r="AD39" s="33"/>
      <c r="AE39" s="25"/>
      <c r="AF39" s="25"/>
      <c r="AG39" s="25"/>
      <c r="AH39" s="25"/>
      <c r="AI39" s="42" t="str">
        <f>$I$11</f>
        <v>O9</v>
      </c>
      <c r="AJ39" s="25"/>
      <c r="AK39" s="25"/>
      <c r="AL39" s="25"/>
      <c r="AM39" s="25"/>
      <c r="AN39" s="25"/>
      <c r="AP39" s="48" t="s">
        <v>28</v>
      </c>
      <c r="AQ39" s="160" t="s">
        <v>24</v>
      </c>
      <c r="AR39" t="s">
        <v>126</v>
      </c>
      <c r="AS39" t="s">
        <v>130</v>
      </c>
      <c r="AT39" s="126" t="s">
        <v>56</v>
      </c>
    </row>
    <row r="40" spans="2:69" ht="15" customHeight="1" x14ac:dyDescent="0.25">
      <c r="B40" s="47"/>
      <c r="C40" s="47"/>
      <c r="D40" s="47">
        <v>1</v>
      </c>
      <c r="E40" s="69">
        <v>1</v>
      </c>
      <c r="F40" s="48">
        <v>1</v>
      </c>
      <c r="G40" s="48"/>
      <c r="H40" s="48"/>
      <c r="I40" s="85"/>
      <c r="J40" s="48">
        <v>1</v>
      </c>
      <c r="K40" s="48"/>
      <c r="L40" s="48">
        <v>1</v>
      </c>
      <c r="M40" s="48"/>
      <c r="N40" s="48"/>
      <c r="O40" s="48"/>
      <c r="P40" s="48">
        <v>1</v>
      </c>
      <c r="Q40" s="48"/>
      <c r="R40" s="49"/>
      <c r="T40" s="26"/>
      <c r="U40" s="27"/>
      <c r="V40" s="323" t="s">
        <v>8</v>
      </c>
      <c r="W40" s="323"/>
      <c r="X40" s="41"/>
      <c r="Y40" s="27"/>
      <c r="Z40" s="323" t="s">
        <v>8</v>
      </c>
      <c r="AA40" s="323"/>
      <c r="AB40" s="40"/>
      <c r="AC40" s="28"/>
      <c r="AD40" s="33"/>
      <c r="AE40" s="26"/>
      <c r="AF40" s="27"/>
      <c r="AG40" s="323" t="s">
        <v>8</v>
      </c>
      <c r="AH40" s="323"/>
      <c r="AI40" s="41"/>
      <c r="AJ40" s="27"/>
      <c r="AK40" s="323" t="s">
        <v>8</v>
      </c>
      <c r="AL40" s="323"/>
      <c r="AM40" s="40"/>
      <c r="AN40" s="28"/>
      <c r="AP40" s="48" t="s">
        <v>29</v>
      </c>
      <c r="AQ40" s="160" t="s">
        <v>29</v>
      </c>
      <c r="AR40" t="s">
        <v>67</v>
      </c>
      <c r="AS40" t="s">
        <v>130</v>
      </c>
      <c r="AT40" s="125" t="s">
        <v>55</v>
      </c>
    </row>
    <row r="41" spans="2:69" ht="15" customHeight="1" x14ac:dyDescent="0.25">
      <c r="B41" s="47"/>
      <c r="C41" s="47"/>
      <c r="D41" s="47">
        <v>1</v>
      </c>
      <c r="E41" s="69">
        <v>1</v>
      </c>
      <c r="F41" s="48">
        <v>1</v>
      </c>
      <c r="G41" s="48"/>
      <c r="H41" s="48">
        <v>1</v>
      </c>
      <c r="I41" s="85"/>
      <c r="J41" s="48">
        <v>1</v>
      </c>
      <c r="K41" s="48"/>
      <c r="L41" s="48">
        <v>1</v>
      </c>
      <c r="M41" s="48"/>
      <c r="N41" s="48"/>
      <c r="O41" s="48">
        <v>1</v>
      </c>
      <c r="P41" s="48">
        <v>1</v>
      </c>
      <c r="Q41" s="48"/>
      <c r="R41" s="49"/>
      <c r="T41" s="29"/>
      <c r="U41" s="93">
        <f>N$12</f>
        <v>1</v>
      </c>
      <c r="V41" s="95">
        <f>N$28</f>
        <v>1</v>
      </c>
      <c r="W41" s="95">
        <f>N$32</f>
        <v>1</v>
      </c>
      <c r="X41" s="94">
        <f>N$16</f>
        <v>1</v>
      </c>
      <c r="Y41" s="95">
        <f>N$18</f>
        <v>0</v>
      </c>
      <c r="Z41" s="95">
        <f>N$34</f>
        <v>0</v>
      </c>
      <c r="AA41" s="95">
        <f>N$30</f>
        <v>0</v>
      </c>
      <c r="AB41" s="94">
        <f>N$14</f>
        <v>0</v>
      </c>
      <c r="AC41" s="38"/>
      <c r="AD41" s="33"/>
      <c r="AE41" s="29"/>
      <c r="AF41" s="93">
        <f>I$12</f>
        <v>0</v>
      </c>
      <c r="AG41" s="95">
        <f>I$28</f>
        <v>0</v>
      </c>
      <c r="AH41" s="95">
        <f>I$32</f>
        <v>0</v>
      </c>
      <c r="AI41" s="94">
        <f>I$16</f>
        <v>1</v>
      </c>
      <c r="AJ41" s="95">
        <f>I$18</f>
        <v>0</v>
      </c>
      <c r="AK41" s="95">
        <f>I$34</f>
        <v>0</v>
      </c>
      <c r="AL41" s="95">
        <f>I$30</f>
        <v>0</v>
      </c>
      <c r="AM41" s="94">
        <f>I$14</f>
        <v>0</v>
      </c>
      <c r="AN41" s="38"/>
      <c r="AP41" s="48" t="s">
        <v>30</v>
      </c>
      <c r="AQ41" s="160" t="s">
        <v>28</v>
      </c>
      <c r="AR41" t="s">
        <v>68</v>
      </c>
      <c r="AS41" t="s">
        <v>130</v>
      </c>
      <c r="AT41" s="125" t="s">
        <v>61</v>
      </c>
    </row>
    <row r="42" spans="2:69" ht="15" customHeight="1" x14ac:dyDescent="0.25">
      <c r="B42" s="52"/>
      <c r="C42" s="52"/>
      <c r="D42" s="52">
        <v>1</v>
      </c>
      <c r="E42" s="92">
        <v>1</v>
      </c>
      <c r="F42" s="43">
        <v>1</v>
      </c>
      <c r="G42" s="92">
        <v>1</v>
      </c>
      <c r="H42" s="43"/>
      <c r="I42" s="87"/>
      <c r="J42" s="43"/>
      <c r="K42" s="43">
        <v>1</v>
      </c>
      <c r="L42" s="43">
        <v>1</v>
      </c>
      <c r="M42" s="43"/>
      <c r="N42" s="43">
        <v>1</v>
      </c>
      <c r="O42" s="43"/>
      <c r="P42" s="78">
        <v>1</v>
      </c>
      <c r="Q42" s="43"/>
      <c r="R42" s="77"/>
      <c r="T42" s="320" t="s">
        <v>1</v>
      </c>
      <c r="U42" s="72">
        <f>N$20</f>
        <v>0</v>
      </c>
      <c r="V42" s="71">
        <f>N$36</f>
        <v>0</v>
      </c>
      <c r="W42" s="71">
        <f>N$40</f>
        <v>0</v>
      </c>
      <c r="X42" s="73">
        <f>N$24</f>
        <v>0</v>
      </c>
      <c r="Y42" s="71">
        <f>N$26</f>
        <v>1</v>
      </c>
      <c r="Z42" s="71">
        <f>N$42</f>
        <v>1</v>
      </c>
      <c r="AA42" s="71">
        <f>N$38</f>
        <v>0</v>
      </c>
      <c r="AB42" s="73">
        <f>N$22</f>
        <v>0</v>
      </c>
      <c r="AC42" s="39"/>
      <c r="AD42" s="33"/>
      <c r="AE42" s="320" t="s">
        <v>1</v>
      </c>
      <c r="AF42" s="72">
        <f>I$20</f>
        <v>0</v>
      </c>
      <c r="AG42" s="71">
        <f>I$36</f>
        <v>0</v>
      </c>
      <c r="AH42" s="71">
        <f>I$40</f>
        <v>0</v>
      </c>
      <c r="AI42" s="73">
        <f>I$24</f>
        <v>1</v>
      </c>
      <c r="AJ42" s="71">
        <f>I$26</f>
        <v>0</v>
      </c>
      <c r="AK42" s="71">
        <f>I$42</f>
        <v>0</v>
      </c>
      <c r="AL42" s="71">
        <f>I$38</f>
        <v>0</v>
      </c>
      <c r="AM42" s="73">
        <f>I$22</f>
        <v>0</v>
      </c>
      <c r="AN42" s="39"/>
      <c r="AP42" s="48" t="s">
        <v>31</v>
      </c>
      <c r="AQ42" s="160" t="s">
        <v>31</v>
      </c>
      <c r="AR42" t="s">
        <v>127</v>
      </c>
      <c r="AS42" t="s">
        <v>130</v>
      </c>
      <c r="AT42" s="126" t="s">
        <v>63</v>
      </c>
    </row>
    <row r="43" spans="2:69" ht="15.75" customHeight="1" thickBot="1" x14ac:dyDescent="0.3">
      <c r="B43" s="105"/>
      <c r="C43" s="105"/>
      <c r="D43" s="105">
        <v>1</v>
      </c>
      <c r="E43" s="106">
        <v>1</v>
      </c>
      <c r="F43" s="107">
        <v>1</v>
      </c>
      <c r="G43" s="106">
        <v>1</v>
      </c>
      <c r="H43" s="108">
        <v>1</v>
      </c>
      <c r="I43" s="172">
        <v>0</v>
      </c>
      <c r="J43" s="107"/>
      <c r="K43" s="107">
        <v>1</v>
      </c>
      <c r="L43" s="107">
        <v>1</v>
      </c>
      <c r="M43" s="107"/>
      <c r="N43" s="107">
        <v>1</v>
      </c>
      <c r="O43" s="107"/>
      <c r="P43" s="173">
        <v>1</v>
      </c>
      <c r="Q43" s="107"/>
      <c r="R43" s="111"/>
      <c r="T43" s="320"/>
      <c r="U43" s="72">
        <f>N$21</f>
        <v>0</v>
      </c>
      <c r="V43" s="71">
        <f>N$37</f>
        <v>0</v>
      </c>
      <c r="W43" s="71">
        <f>N$41</f>
        <v>0</v>
      </c>
      <c r="X43" s="73">
        <f>N$25</f>
        <v>0</v>
      </c>
      <c r="Y43" s="71">
        <f>N$27</f>
        <v>1</v>
      </c>
      <c r="Z43" s="71">
        <f>N$43</f>
        <v>1</v>
      </c>
      <c r="AA43" s="71">
        <f>N$39</f>
        <v>0</v>
      </c>
      <c r="AB43" s="73">
        <f>N$23</f>
        <v>0</v>
      </c>
      <c r="AC43" s="319" t="s">
        <v>19</v>
      </c>
      <c r="AD43" s="33"/>
      <c r="AE43" s="320"/>
      <c r="AF43" s="72">
        <f>I$21</f>
        <v>1</v>
      </c>
      <c r="AG43" s="71">
        <f>I$37</f>
        <v>1</v>
      </c>
      <c r="AH43" s="71">
        <f>I$41</f>
        <v>0</v>
      </c>
      <c r="AI43" s="73">
        <f>I$25</f>
        <v>1</v>
      </c>
      <c r="AJ43" s="164">
        <f>I$27</f>
        <v>0</v>
      </c>
      <c r="AK43" s="164">
        <f>I$43</f>
        <v>0</v>
      </c>
      <c r="AL43" s="71">
        <f>I$39</f>
        <v>1</v>
      </c>
      <c r="AM43" s="73">
        <f>I$23</f>
        <v>1</v>
      </c>
      <c r="AN43" s="319" t="s">
        <v>19</v>
      </c>
      <c r="AQ43" s="124"/>
      <c r="AT43" s="124"/>
      <c r="AW43" s="122"/>
      <c r="AX43" s="122"/>
    </row>
    <row r="44" spans="2:69" ht="15" customHeight="1" x14ac:dyDescent="0.25">
      <c r="B44" s="75"/>
      <c r="C44" s="75">
        <v>2</v>
      </c>
      <c r="D44" s="75">
        <v>3</v>
      </c>
      <c r="E44" s="76">
        <v>4</v>
      </c>
      <c r="F44" s="76">
        <v>5</v>
      </c>
      <c r="G44" s="76">
        <v>6</v>
      </c>
      <c r="H44" s="79">
        <v>7</v>
      </c>
      <c r="I44" s="43">
        <v>23</v>
      </c>
      <c r="J44" s="43">
        <v>22</v>
      </c>
      <c r="K44" s="43">
        <v>21</v>
      </c>
      <c r="L44" s="43">
        <v>20</v>
      </c>
      <c r="M44" s="43">
        <v>19</v>
      </c>
      <c r="N44" s="43">
        <v>18</v>
      </c>
      <c r="O44" s="43">
        <v>17</v>
      </c>
      <c r="P44" s="43">
        <v>16</v>
      </c>
      <c r="Q44" s="43">
        <v>15</v>
      </c>
      <c r="R44" s="44">
        <v>14</v>
      </c>
      <c r="T44" s="36"/>
      <c r="U44" s="37">
        <f>N$13</f>
        <v>0</v>
      </c>
      <c r="V44" s="34">
        <f>N$29</f>
        <v>0</v>
      </c>
      <c r="W44" s="34">
        <f>N$33</f>
        <v>1</v>
      </c>
      <c r="X44" s="96">
        <f>N$17</f>
        <v>1</v>
      </c>
      <c r="Y44" s="34">
        <f>N$19</f>
        <v>0</v>
      </c>
      <c r="Z44" s="34">
        <f>N$35</f>
        <v>0</v>
      </c>
      <c r="AA44" s="34">
        <f>N$31</f>
        <v>0</v>
      </c>
      <c r="AB44" s="96">
        <f>N$15</f>
        <v>0</v>
      </c>
      <c r="AC44" s="319"/>
      <c r="AD44" s="33"/>
      <c r="AE44" s="36"/>
      <c r="AF44" s="37">
        <f>I$13</f>
        <v>1</v>
      </c>
      <c r="AG44" s="34">
        <f>I$29</f>
        <v>1</v>
      </c>
      <c r="AH44" s="34">
        <f>I$33</f>
        <v>0</v>
      </c>
      <c r="AI44" s="96">
        <f>I$17</f>
        <v>1</v>
      </c>
      <c r="AJ44" s="34">
        <f>I$19</f>
        <v>1</v>
      </c>
      <c r="AK44" s="34">
        <f>I$35</f>
        <v>1</v>
      </c>
      <c r="AL44" s="34">
        <f>I$31</f>
        <v>1</v>
      </c>
      <c r="AM44" s="96">
        <f>I$15</f>
        <v>1</v>
      </c>
      <c r="AN44" s="319"/>
      <c r="AP44" s="174" t="s">
        <v>129</v>
      </c>
      <c r="AQ44" s="175" t="s">
        <v>7</v>
      </c>
      <c r="AR44" s="176" t="s">
        <v>147</v>
      </c>
      <c r="AS44" s="177"/>
      <c r="AT44" s="178"/>
      <c r="AU44" s="177"/>
      <c r="AV44" s="177"/>
      <c r="AW44" s="178"/>
      <c r="AX44" s="179"/>
    </row>
    <row r="45" spans="2:69" ht="15" customHeight="1" x14ac:dyDescent="0.25">
      <c r="B45" s="89">
        <v>1571</v>
      </c>
      <c r="C45" s="89" t="s">
        <v>71</v>
      </c>
      <c r="D45" s="89" t="s">
        <v>8</v>
      </c>
      <c r="E45" s="90" t="s">
        <v>1</v>
      </c>
      <c r="F45" s="90" t="s">
        <v>33</v>
      </c>
      <c r="G45" s="90" t="s">
        <v>0</v>
      </c>
      <c r="H45" s="91" t="s">
        <v>19</v>
      </c>
      <c r="I45" s="168" t="s">
        <v>31</v>
      </c>
      <c r="J45" s="168" t="s">
        <v>28</v>
      </c>
      <c r="K45" s="168" t="s">
        <v>29</v>
      </c>
      <c r="L45" s="168" t="s">
        <v>24</v>
      </c>
      <c r="M45" s="168" t="s">
        <v>26</v>
      </c>
      <c r="N45" s="168" t="s">
        <v>23</v>
      </c>
      <c r="O45" s="168" t="s">
        <v>25</v>
      </c>
      <c r="P45" s="161" t="s">
        <v>30</v>
      </c>
      <c r="Q45" s="168" t="s">
        <v>22</v>
      </c>
      <c r="R45" s="169" t="s">
        <v>27</v>
      </c>
      <c r="T45" s="29"/>
      <c r="U45" s="31"/>
      <c r="V45" s="1"/>
      <c r="W45" s="326" t="s">
        <v>33</v>
      </c>
      <c r="X45" s="326"/>
      <c r="Y45" s="326"/>
      <c r="Z45" s="326"/>
      <c r="AA45" s="1"/>
      <c r="AB45" s="31"/>
      <c r="AC45" s="30"/>
      <c r="AD45" s="33"/>
      <c r="AE45" s="29"/>
      <c r="AF45" s="31"/>
      <c r="AG45" s="1"/>
      <c r="AH45" s="326" t="s">
        <v>33</v>
      </c>
      <c r="AI45" s="326"/>
      <c r="AJ45" s="326"/>
      <c r="AK45" s="326"/>
      <c r="AL45" s="1"/>
      <c r="AM45" s="31"/>
      <c r="AN45" s="30"/>
      <c r="AP45" s="193"/>
      <c r="AQ45" s="166"/>
      <c r="AR45" s="194" t="s">
        <v>137</v>
      </c>
      <c r="AS45" s="23"/>
      <c r="AT45" s="122"/>
      <c r="AU45" s="23"/>
      <c r="AV45" s="23"/>
      <c r="AW45" s="122"/>
      <c r="AX45" s="181"/>
      <c r="AY45" s="122"/>
      <c r="AZ45" s="122"/>
      <c r="BA45" s="122"/>
      <c r="BB45" s="123"/>
    </row>
    <row r="46" spans="2:69" ht="15" customHeight="1" x14ac:dyDescent="0.25">
      <c r="B46" s="47"/>
      <c r="C46" s="47">
        <v>1</v>
      </c>
      <c r="D46" s="47"/>
      <c r="E46" s="48"/>
      <c r="F46" s="48"/>
      <c r="G46" s="48"/>
      <c r="H46" s="49"/>
      <c r="I46" s="84"/>
      <c r="J46" s="43"/>
      <c r="K46" s="43">
        <v>1</v>
      </c>
      <c r="L46" s="163">
        <v>0</v>
      </c>
      <c r="M46" s="43">
        <v>1</v>
      </c>
      <c r="N46" s="163">
        <v>1</v>
      </c>
      <c r="O46" s="43"/>
      <c r="P46" s="163">
        <v>1</v>
      </c>
      <c r="Q46" s="43"/>
      <c r="R46" s="44"/>
      <c r="T46" s="37"/>
      <c r="U46" s="34"/>
      <c r="V46" s="35"/>
      <c r="W46" s="35"/>
      <c r="X46" s="34"/>
      <c r="Y46" s="324" t="s">
        <v>0</v>
      </c>
      <c r="Z46" s="324"/>
      <c r="AA46" s="324"/>
      <c r="AB46" s="324"/>
      <c r="AC46" s="32"/>
      <c r="AD46" s="33"/>
      <c r="AE46" s="37"/>
      <c r="AF46" s="34"/>
      <c r="AG46" s="35"/>
      <c r="AH46" s="35"/>
      <c r="AI46" s="34"/>
      <c r="AJ46" s="324" t="s">
        <v>0</v>
      </c>
      <c r="AK46" s="324"/>
      <c r="AL46" s="324"/>
      <c r="AM46" s="324"/>
      <c r="AN46" s="32"/>
      <c r="AO46" t="s">
        <v>136</v>
      </c>
      <c r="AP46" s="193"/>
      <c r="AQ46" s="166"/>
      <c r="AR46" s="194" t="s">
        <v>138</v>
      </c>
      <c r="AS46" s="23"/>
      <c r="AT46" s="122"/>
      <c r="AU46" s="23"/>
      <c r="AV46" s="23"/>
      <c r="AW46" s="122"/>
      <c r="AX46" s="181"/>
      <c r="AY46" s="122"/>
      <c r="AZ46" s="122"/>
      <c r="BA46" s="122"/>
      <c r="BB46" s="122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</row>
    <row r="47" spans="2:69" ht="15" customHeight="1" x14ac:dyDescent="0.25">
      <c r="B47" s="47"/>
      <c r="C47" s="47">
        <v>1</v>
      </c>
      <c r="D47" s="47"/>
      <c r="E47" s="48"/>
      <c r="F47" s="48"/>
      <c r="G47" s="48"/>
      <c r="H47" s="49">
        <v>1</v>
      </c>
      <c r="I47" s="85">
        <v>1</v>
      </c>
      <c r="J47" s="48"/>
      <c r="K47" s="48">
        <v>1</v>
      </c>
      <c r="L47" s="48">
        <v>1</v>
      </c>
      <c r="M47" s="48">
        <v>1</v>
      </c>
      <c r="N47" s="48"/>
      <c r="O47" s="48"/>
      <c r="P47" s="48"/>
      <c r="Q47" s="48"/>
      <c r="R47" s="49"/>
      <c r="AO47">
        <v>19</v>
      </c>
      <c r="AP47" s="180"/>
      <c r="AQ47" s="161" t="s">
        <v>22</v>
      </c>
      <c r="AR47" s="23" t="s">
        <v>139</v>
      </c>
      <c r="AS47" s="23" t="s">
        <v>130</v>
      </c>
      <c r="AT47" s="126" t="s">
        <v>60</v>
      </c>
      <c r="AU47" s="23"/>
      <c r="AV47" s="23"/>
      <c r="AW47" s="122"/>
      <c r="AX47" s="181"/>
      <c r="AY47" s="122"/>
      <c r="AZ47" s="122"/>
      <c r="BA47" s="122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</row>
    <row r="48" spans="2:69" ht="15" customHeight="1" x14ac:dyDescent="0.25">
      <c r="B48" s="47"/>
      <c r="C48" s="47">
        <v>1</v>
      </c>
      <c r="D48" s="47"/>
      <c r="E48" s="48"/>
      <c r="F48" s="48"/>
      <c r="G48" s="48">
        <v>1</v>
      </c>
      <c r="H48" s="49"/>
      <c r="I48" s="85"/>
      <c r="J48" s="48"/>
      <c r="K48" s="48">
        <v>1</v>
      </c>
      <c r="L48" s="48">
        <v>1</v>
      </c>
      <c r="M48" s="48">
        <v>1</v>
      </c>
      <c r="N48" s="48"/>
      <c r="O48" s="48"/>
      <c r="P48" s="48"/>
      <c r="Q48" s="48"/>
      <c r="R48" s="49">
        <v>1</v>
      </c>
      <c r="AO48">
        <v>14</v>
      </c>
      <c r="AP48" s="180"/>
      <c r="AQ48" s="161" t="s">
        <v>23</v>
      </c>
      <c r="AR48" s="23" t="s">
        <v>140</v>
      </c>
      <c r="AS48" s="23" t="s">
        <v>130</v>
      </c>
      <c r="AT48" s="125" t="s">
        <v>58</v>
      </c>
      <c r="AU48" s="23"/>
      <c r="AV48" s="23"/>
      <c r="AW48" s="122"/>
      <c r="AX48" s="181"/>
      <c r="AY48" s="122"/>
      <c r="AZ48" s="122"/>
      <c r="BA48" s="122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</row>
    <row r="49" spans="2:69" ht="15" customHeight="1" x14ac:dyDescent="0.25">
      <c r="B49" s="53"/>
      <c r="C49" s="53">
        <v>1</v>
      </c>
      <c r="D49" s="53"/>
      <c r="E49" s="54"/>
      <c r="F49" s="54"/>
      <c r="G49" s="54">
        <v>1</v>
      </c>
      <c r="H49" s="55">
        <v>1</v>
      </c>
      <c r="I49" s="115">
        <v>1</v>
      </c>
      <c r="J49" s="48"/>
      <c r="K49" s="48">
        <v>1</v>
      </c>
      <c r="L49" s="48">
        <v>1</v>
      </c>
      <c r="M49" s="48">
        <v>1</v>
      </c>
      <c r="N49" s="48"/>
      <c r="O49" s="48"/>
      <c r="P49" s="48"/>
      <c r="Q49" s="48"/>
      <c r="R49" s="49">
        <v>1</v>
      </c>
      <c r="AO49">
        <v>22</v>
      </c>
      <c r="AP49" s="180"/>
      <c r="AQ49" s="161" t="s">
        <v>24</v>
      </c>
      <c r="AR49" s="23" t="s">
        <v>141</v>
      </c>
      <c r="AS49" s="23" t="s">
        <v>130</v>
      </c>
      <c r="AT49" s="126" t="s">
        <v>56</v>
      </c>
      <c r="AU49" s="23"/>
      <c r="AV49" s="23"/>
      <c r="AW49" s="122"/>
      <c r="AX49" s="181"/>
      <c r="AY49" s="122"/>
      <c r="AZ49" s="122"/>
      <c r="BA49" s="122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</row>
    <row r="50" spans="2:69" ht="15" customHeight="1" x14ac:dyDescent="0.25">
      <c r="B50" s="52"/>
      <c r="C50" s="52">
        <v>1</v>
      </c>
      <c r="D50" s="52"/>
      <c r="E50" s="43"/>
      <c r="F50" s="43">
        <v>1</v>
      </c>
      <c r="G50" s="43"/>
      <c r="H50" s="44"/>
      <c r="I50" s="85"/>
      <c r="J50" s="48"/>
      <c r="K50" s="48">
        <v>1</v>
      </c>
      <c r="L50" s="114">
        <v>1</v>
      </c>
      <c r="M50" s="48">
        <v>1</v>
      </c>
      <c r="N50" s="48">
        <v>1</v>
      </c>
      <c r="O50" s="48"/>
      <c r="P50" s="48"/>
      <c r="Q50" s="48"/>
      <c r="R50" s="49"/>
      <c r="W50" s="337" t="s">
        <v>131</v>
      </c>
      <c r="X50" s="337"/>
      <c r="Y50" s="337"/>
      <c r="Z50" s="337"/>
      <c r="AA50" s="337"/>
      <c r="AO50">
        <v>17</v>
      </c>
      <c r="AP50" s="180"/>
      <c r="AQ50" s="161" t="s">
        <v>25</v>
      </c>
      <c r="AR50" s="23" t="s">
        <v>142</v>
      </c>
      <c r="AS50" s="23" t="s">
        <v>130</v>
      </c>
      <c r="AT50" s="125" t="s">
        <v>59</v>
      </c>
      <c r="AU50" s="23"/>
      <c r="AV50" s="23"/>
      <c r="AW50" s="23"/>
      <c r="AX50" s="182"/>
      <c r="AY50" s="122"/>
      <c r="AZ50" s="122"/>
      <c r="BA50" s="122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</row>
    <row r="51" spans="2:69" ht="15" customHeight="1" x14ac:dyDescent="0.25">
      <c r="B51" s="47"/>
      <c r="C51" s="47">
        <v>1</v>
      </c>
      <c r="D51" s="47"/>
      <c r="E51" s="48"/>
      <c r="F51" s="48">
        <v>1</v>
      </c>
      <c r="G51" s="48"/>
      <c r="H51" s="49">
        <v>1</v>
      </c>
      <c r="I51" s="85">
        <v>1</v>
      </c>
      <c r="J51" s="48"/>
      <c r="K51" s="48">
        <v>1</v>
      </c>
      <c r="L51" s="114">
        <v>1</v>
      </c>
      <c r="M51" s="48">
        <v>1</v>
      </c>
      <c r="N51" s="48">
        <v>1</v>
      </c>
      <c r="O51" s="48"/>
      <c r="P51" s="48"/>
      <c r="Q51" s="48"/>
      <c r="R51" s="49"/>
      <c r="W51" s="338" t="s">
        <v>132</v>
      </c>
      <c r="X51" s="338"/>
      <c r="Y51" s="338"/>
      <c r="Z51" s="338"/>
      <c r="AA51" s="338"/>
      <c r="AO51">
        <v>15</v>
      </c>
      <c r="AP51" s="180"/>
      <c r="AQ51" s="161" t="s">
        <v>26</v>
      </c>
      <c r="AR51" s="23" t="s">
        <v>143</v>
      </c>
      <c r="AS51" s="23" t="s">
        <v>130</v>
      </c>
      <c r="AT51" s="126" t="s">
        <v>57</v>
      </c>
      <c r="AU51" s="23"/>
      <c r="AV51" s="23"/>
      <c r="AW51" s="23"/>
      <c r="AX51" s="182"/>
      <c r="AY51" s="122"/>
      <c r="AZ51" s="122"/>
      <c r="BA51" s="122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</row>
    <row r="52" spans="2:69" ht="15" customHeight="1" x14ac:dyDescent="0.25">
      <c r="B52" s="47"/>
      <c r="C52" s="47">
        <v>1</v>
      </c>
      <c r="D52" s="47"/>
      <c r="E52" s="48"/>
      <c r="F52" s="48">
        <v>1</v>
      </c>
      <c r="G52" s="48">
        <v>1</v>
      </c>
      <c r="H52" s="49"/>
      <c r="I52" s="85"/>
      <c r="J52" s="48"/>
      <c r="K52" s="48">
        <v>1</v>
      </c>
      <c r="L52" s="48">
        <v>1</v>
      </c>
      <c r="M52" s="48">
        <v>1</v>
      </c>
      <c r="N52" s="48"/>
      <c r="O52" s="48"/>
      <c r="P52" s="48"/>
      <c r="Q52" s="48"/>
      <c r="R52" s="49">
        <v>1</v>
      </c>
      <c r="AO52">
        <v>18</v>
      </c>
      <c r="AP52" s="180"/>
      <c r="AQ52" s="161" t="s">
        <v>27</v>
      </c>
      <c r="AR52" s="23" t="s">
        <v>144</v>
      </c>
      <c r="AS52" s="23" t="s">
        <v>130</v>
      </c>
      <c r="AT52" s="126" t="s">
        <v>64</v>
      </c>
      <c r="AU52" s="23"/>
      <c r="AV52" s="23"/>
      <c r="AW52" s="23"/>
      <c r="AX52" s="182"/>
      <c r="AY52" s="122"/>
      <c r="AZ52" s="122"/>
      <c r="BA52" s="122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</row>
    <row r="53" spans="2:69" ht="15" customHeight="1" x14ac:dyDescent="0.25">
      <c r="B53" s="53"/>
      <c r="C53" s="53">
        <v>1</v>
      </c>
      <c r="D53" s="53"/>
      <c r="E53" s="54"/>
      <c r="F53" s="54">
        <v>1</v>
      </c>
      <c r="G53" s="54">
        <v>1</v>
      </c>
      <c r="H53" s="55">
        <v>1</v>
      </c>
      <c r="I53" s="85">
        <v>1</v>
      </c>
      <c r="J53" s="48"/>
      <c r="K53" s="48">
        <v>1</v>
      </c>
      <c r="L53" s="48">
        <v>1</v>
      </c>
      <c r="M53" s="48">
        <v>1</v>
      </c>
      <c r="N53" s="48"/>
      <c r="O53" s="48"/>
      <c r="P53" s="48"/>
      <c r="Q53" s="48"/>
      <c r="R53" s="49">
        <v>1</v>
      </c>
      <c r="AO53">
        <v>16</v>
      </c>
      <c r="AP53" s="180"/>
      <c r="AQ53" s="161" t="s">
        <v>28</v>
      </c>
      <c r="AR53" s="23" t="s">
        <v>148</v>
      </c>
      <c r="AS53" s="23" t="s">
        <v>130</v>
      </c>
      <c r="AT53" s="125" t="s">
        <v>61</v>
      </c>
      <c r="AU53" s="23"/>
      <c r="AV53" s="23"/>
      <c r="AW53" s="23"/>
      <c r="AX53" s="182"/>
      <c r="AY53" s="122"/>
      <c r="AZ53" s="122"/>
      <c r="BA53" s="122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  <row r="54" spans="2:69" ht="15" customHeight="1" x14ac:dyDescent="0.25">
      <c r="B54" s="52"/>
      <c r="C54" s="52">
        <v>1</v>
      </c>
      <c r="D54" s="52"/>
      <c r="E54" s="92">
        <v>1</v>
      </c>
      <c r="F54" s="43"/>
      <c r="G54" s="43"/>
      <c r="H54" s="44"/>
      <c r="I54" s="85"/>
      <c r="J54" s="48"/>
      <c r="K54" s="48">
        <v>1</v>
      </c>
      <c r="L54" s="48">
        <v>1</v>
      </c>
      <c r="M54" s="48">
        <v>1</v>
      </c>
      <c r="N54" s="48"/>
      <c r="O54" s="48"/>
      <c r="P54" s="48"/>
      <c r="Q54" s="48"/>
      <c r="R54" s="49"/>
      <c r="AO54">
        <v>21</v>
      </c>
      <c r="AP54" s="180"/>
      <c r="AQ54" s="161" t="s">
        <v>29</v>
      </c>
      <c r="AR54" s="23" t="s">
        <v>152</v>
      </c>
      <c r="AS54" s="23" t="s">
        <v>130</v>
      </c>
      <c r="AT54" s="125" t="s">
        <v>55</v>
      </c>
      <c r="AU54" s="23"/>
      <c r="AV54" s="23"/>
      <c r="AW54" s="23"/>
      <c r="AX54" s="182"/>
      <c r="AY54" s="122"/>
      <c r="AZ54" s="122"/>
      <c r="BA54" s="122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</row>
    <row r="55" spans="2:69" ht="15" customHeight="1" x14ac:dyDescent="0.25">
      <c r="B55" s="47"/>
      <c r="C55" s="47">
        <v>1</v>
      </c>
      <c r="D55" s="47"/>
      <c r="E55" s="69">
        <v>1</v>
      </c>
      <c r="F55" s="48"/>
      <c r="G55" s="48"/>
      <c r="H55" s="49">
        <v>1</v>
      </c>
      <c r="I55" s="85">
        <v>1</v>
      </c>
      <c r="J55" s="48"/>
      <c r="K55" s="48">
        <v>1</v>
      </c>
      <c r="L55" s="48">
        <v>1</v>
      </c>
      <c r="M55" s="48">
        <v>1</v>
      </c>
      <c r="N55" s="48"/>
      <c r="O55" s="48"/>
      <c r="P55" s="48"/>
      <c r="Q55" s="48"/>
      <c r="R55" s="49"/>
      <c r="AO55">
        <v>20</v>
      </c>
      <c r="AP55" s="180"/>
      <c r="AQ55" s="161" t="s">
        <v>30</v>
      </c>
      <c r="AR55" s="183" t="s">
        <v>145</v>
      </c>
      <c r="AS55" s="23" t="s">
        <v>130</v>
      </c>
      <c r="AT55" s="126" t="s">
        <v>62</v>
      </c>
      <c r="AU55" s="23"/>
      <c r="AV55" s="23"/>
      <c r="AW55" s="23"/>
      <c r="AX55" s="182"/>
      <c r="AY55" s="122"/>
      <c r="AZ55" s="122"/>
      <c r="BA55" s="122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</row>
    <row r="56" spans="2:69" ht="15" customHeight="1" thickBot="1" x14ac:dyDescent="0.3">
      <c r="B56" s="52"/>
      <c r="C56" s="52">
        <v>1</v>
      </c>
      <c r="D56" s="52"/>
      <c r="E56" s="92">
        <v>1</v>
      </c>
      <c r="F56" s="43"/>
      <c r="G56" s="92">
        <v>1</v>
      </c>
      <c r="H56" s="44"/>
      <c r="I56" s="87"/>
      <c r="J56" s="43"/>
      <c r="K56" s="43">
        <v>1</v>
      </c>
      <c r="L56" s="43">
        <v>1</v>
      </c>
      <c r="M56" s="43">
        <v>1</v>
      </c>
      <c r="N56" s="43"/>
      <c r="O56" s="43"/>
      <c r="P56" s="117"/>
      <c r="Q56" s="43"/>
      <c r="R56" s="119">
        <v>1</v>
      </c>
      <c r="AO56">
        <v>23</v>
      </c>
      <c r="AP56" s="184"/>
      <c r="AQ56" s="185" t="s">
        <v>31</v>
      </c>
      <c r="AR56" s="186" t="s">
        <v>146</v>
      </c>
      <c r="AS56" s="186" t="s">
        <v>130</v>
      </c>
      <c r="AT56" s="187" t="s">
        <v>63</v>
      </c>
      <c r="AU56" s="186"/>
      <c r="AV56" s="186"/>
      <c r="AW56" s="186"/>
      <c r="AX56" s="188"/>
      <c r="AY56" s="122"/>
      <c r="AZ56" s="122"/>
      <c r="BA56" s="122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</row>
    <row r="57" spans="2:69" ht="15" customHeight="1" thickBot="1" x14ac:dyDescent="0.3">
      <c r="B57" s="53"/>
      <c r="C57" s="53">
        <v>1</v>
      </c>
      <c r="D57" s="53"/>
      <c r="E57" s="70">
        <v>1</v>
      </c>
      <c r="F57" s="54"/>
      <c r="G57" s="70">
        <v>1</v>
      </c>
      <c r="H57" s="55">
        <v>1</v>
      </c>
      <c r="I57" s="116">
        <v>1</v>
      </c>
      <c r="J57" s="54"/>
      <c r="K57" s="54">
        <v>1</v>
      </c>
      <c r="L57" s="54">
        <v>1</v>
      </c>
      <c r="M57" s="54">
        <v>1</v>
      </c>
      <c r="N57" s="54"/>
      <c r="O57" s="54"/>
      <c r="P57" s="86">
        <v>0</v>
      </c>
      <c r="Q57" s="54"/>
      <c r="R57" s="120">
        <v>1</v>
      </c>
      <c r="AY57" s="122"/>
      <c r="AZ57" s="122"/>
      <c r="BA57" s="122"/>
      <c r="BB57" s="48"/>
      <c r="BC57" s="160"/>
      <c r="BD57" s="125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</row>
    <row r="58" spans="2:69" ht="15" customHeight="1" x14ac:dyDescent="0.25">
      <c r="B58" s="47"/>
      <c r="C58" s="47">
        <v>1</v>
      </c>
      <c r="D58" s="47"/>
      <c r="E58" s="69">
        <v>1</v>
      </c>
      <c r="F58" s="48">
        <v>1</v>
      </c>
      <c r="G58" s="48"/>
      <c r="H58" s="49"/>
      <c r="I58" s="85"/>
      <c r="J58" s="48"/>
      <c r="K58" s="48">
        <v>1</v>
      </c>
      <c r="L58" s="48">
        <v>1</v>
      </c>
      <c r="M58" s="114">
        <v>1</v>
      </c>
      <c r="N58" s="48"/>
      <c r="O58" s="48"/>
      <c r="P58" s="48"/>
      <c r="Q58" s="48"/>
      <c r="R58" s="49"/>
      <c r="AP58" s="174" t="s">
        <v>129</v>
      </c>
      <c r="AQ58" s="175" t="s">
        <v>7</v>
      </c>
      <c r="AR58" s="176" t="s">
        <v>149</v>
      </c>
      <c r="AS58" s="177"/>
      <c r="AT58" s="178"/>
      <c r="AU58" s="177"/>
      <c r="AV58" s="177"/>
      <c r="AW58" s="189"/>
      <c r="AX58" s="190"/>
      <c r="AY58" s="124"/>
      <c r="AZ58" s="124"/>
      <c r="BA58" s="124"/>
      <c r="BB58" s="48"/>
      <c r="BC58" s="160"/>
      <c r="BD58" s="125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</row>
    <row r="59" spans="2:69" ht="15" customHeight="1" x14ac:dyDescent="0.25">
      <c r="B59" s="47"/>
      <c r="C59" s="47">
        <v>1</v>
      </c>
      <c r="D59" s="47"/>
      <c r="E59" s="69">
        <v>1</v>
      </c>
      <c r="F59" s="48">
        <v>1</v>
      </c>
      <c r="G59" s="48"/>
      <c r="H59" s="49">
        <v>1</v>
      </c>
      <c r="I59" s="85">
        <v>1</v>
      </c>
      <c r="J59" s="48"/>
      <c r="K59" s="48">
        <v>1</v>
      </c>
      <c r="L59" s="48">
        <v>1</v>
      </c>
      <c r="M59" s="114">
        <v>1</v>
      </c>
      <c r="N59" s="48"/>
      <c r="O59" s="48"/>
      <c r="P59" s="48"/>
      <c r="Q59" s="114"/>
      <c r="R59" s="49"/>
      <c r="AP59" s="193"/>
      <c r="AQ59" s="166"/>
      <c r="AR59" s="194" t="s">
        <v>150</v>
      </c>
      <c r="AS59" s="23"/>
      <c r="AT59" s="122"/>
      <c r="AU59" s="23"/>
      <c r="AV59" s="23"/>
      <c r="AW59" s="124"/>
      <c r="AX59" s="195"/>
      <c r="AY59" s="122"/>
      <c r="AZ59" s="122"/>
      <c r="BA59" s="122"/>
      <c r="BB59" s="48"/>
      <c r="BC59" s="160"/>
      <c r="BD59" s="125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</row>
    <row r="60" spans="2:69" ht="15" customHeight="1" x14ac:dyDescent="0.25">
      <c r="B60" s="52"/>
      <c r="C60" s="52">
        <v>1</v>
      </c>
      <c r="D60" s="52"/>
      <c r="E60" s="92">
        <v>1</v>
      </c>
      <c r="F60" s="43">
        <v>1</v>
      </c>
      <c r="G60" s="92">
        <v>1</v>
      </c>
      <c r="H60" s="44"/>
      <c r="I60" s="87"/>
      <c r="J60" s="43"/>
      <c r="K60" s="43">
        <v>1</v>
      </c>
      <c r="L60" s="43">
        <v>1</v>
      </c>
      <c r="M60" s="117">
        <v>1</v>
      </c>
      <c r="N60" s="43">
        <v>1</v>
      </c>
      <c r="O60" s="43"/>
      <c r="P60" s="117"/>
      <c r="Q60" s="43"/>
      <c r="R60" s="119">
        <v>1</v>
      </c>
      <c r="AO60" t="s">
        <v>136</v>
      </c>
      <c r="AP60" s="193"/>
      <c r="AQ60" s="166"/>
      <c r="AR60" s="194" t="s">
        <v>151</v>
      </c>
      <c r="AS60" s="23"/>
      <c r="AT60" s="122"/>
      <c r="AU60" s="23"/>
      <c r="AV60" s="23"/>
      <c r="AW60" s="124"/>
      <c r="AX60" s="195"/>
      <c r="AY60" s="124"/>
      <c r="AZ60" s="124"/>
      <c r="BA60" s="124"/>
      <c r="BB60" s="48"/>
      <c r="BC60" s="160"/>
      <c r="BD60" s="125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</row>
    <row r="61" spans="2:69" ht="15" customHeight="1" x14ac:dyDescent="0.25">
      <c r="B61" s="53"/>
      <c r="C61" s="53">
        <v>1</v>
      </c>
      <c r="D61" s="53"/>
      <c r="E61" s="70">
        <v>1</v>
      </c>
      <c r="F61" s="54">
        <v>1</v>
      </c>
      <c r="G61" s="70">
        <v>1</v>
      </c>
      <c r="H61" s="55">
        <v>1</v>
      </c>
      <c r="I61" s="88">
        <v>1</v>
      </c>
      <c r="J61" s="54"/>
      <c r="K61" s="54">
        <v>1</v>
      </c>
      <c r="L61" s="54">
        <v>1</v>
      </c>
      <c r="M61" s="118">
        <v>1</v>
      </c>
      <c r="N61" s="54">
        <v>1</v>
      </c>
      <c r="O61" s="54"/>
      <c r="P61" s="86">
        <v>0</v>
      </c>
      <c r="Q61" s="54"/>
      <c r="R61" s="120">
        <v>1</v>
      </c>
      <c r="AO61">
        <v>14</v>
      </c>
      <c r="AP61" s="180"/>
      <c r="AQ61" s="192" t="s">
        <v>27</v>
      </c>
      <c r="AR61" s="23" t="s">
        <v>139</v>
      </c>
      <c r="AS61" s="23" t="s">
        <v>130</v>
      </c>
      <c r="AT61" s="126" t="s">
        <v>64</v>
      </c>
      <c r="AU61" s="23"/>
      <c r="AV61" s="23"/>
      <c r="AW61" s="23"/>
      <c r="AX61" s="182"/>
      <c r="AY61" s="124"/>
      <c r="AZ61" s="124"/>
      <c r="BA61" s="124"/>
      <c r="BB61" s="48"/>
      <c r="BC61" s="160"/>
      <c r="BD61" s="125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</row>
    <row r="62" spans="2:69" ht="15" customHeight="1" x14ac:dyDescent="0.25">
      <c r="B62" s="47"/>
      <c r="C62" s="47">
        <v>1</v>
      </c>
      <c r="D62" s="47">
        <v>1</v>
      </c>
      <c r="E62" s="48"/>
      <c r="F62" s="48"/>
      <c r="G62" s="48"/>
      <c r="H62" s="49"/>
      <c r="I62" s="85"/>
      <c r="J62" s="48"/>
      <c r="K62" s="48">
        <v>1</v>
      </c>
      <c r="L62" s="114">
        <v>1</v>
      </c>
      <c r="M62" s="48">
        <v>1</v>
      </c>
      <c r="N62" s="48">
        <v>1</v>
      </c>
      <c r="O62" s="48"/>
      <c r="P62" s="48">
        <v>1</v>
      </c>
      <c r="Q62" s="48"/>
      <c r="R62" s="49"/>
      <c r="AO62">
        <v>15</v>
      </c>
      <c r="AP62" s="180"/>
      <c r="AQ62" s="161" t="s">
        <v>22</v>
      </c>
      <c r="AR62" s="23" t="s">
        <v>140</v>
      </c>
      <c r="AS62" s="23" t="s">
        <v>130</v>
      </c>
      <c r="AT62" s="126" t="s">
        <v>60</v>
      </c>
      <c r="AU62" s="23"/>
      <c r="AV62" s="23"/>
      <c r="AW62" s="122"/>
      <c r="AX62" s="181"/>
      <c r="AY62" s="124"/>
      <c r="AZ62" s="124"/>
      <c r="BA62" s="124"/>
      <c r="BB62" s="48"/>
      <c r="BC62" s="160"/>
      <c r="BD62" s="125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</row>
    <row r="63" spans="2:69" ht="15" customHeight="1" x14ac:dyDescent="0.25">
      <c r="B63" s="47"/>
      <c r="C63" s="47">
        <v>1</v>
      </c>
      <c r="D63" s="47">
        <v>1</v>
      </c>
      <c r="E63" s="48"/>
      <c r="F63" s="48"/>
      <c r="G63" s="48"/>
      <c r="H63" s="49">
        <v>1</v>
      </c>
      <c r="I63" s="85">
        <v>1</v>
      </c>
      <c r="J63" s="48"/>
      <c r="K63" s="48">
        <v>1</v>
      </c>
      <c r="L63" s="48">
        <v>1</v>
      </c>
      <c r="M63" s="48">
        <v>1</v>
      </c>
      <c r="N63" s="48"/>
      <c r="O63" s="48"/>
      <c r="P63" s="48">
        <v>1</v>
      </c>
      <c r="Q63" s="48"/>
      <c r="R63" s="49"/>
      <c r="AO63">
        <v>16</v>
      </c>
      <c r="AP63" s="180"/>
      <c r="AQ63" s="161" t="s">
        <v>30</v>
      </c>
      <c r="AR63" s="183" t="s">
        <v>141</v>
      </c>
      <c r="AS63" s="23" t="s">
        <v>130</v>
      </c>
      <c r="AT63" s="126" t="s">
        <v>62</v>
      </c>
      <c r="AU63" s="23"/>
      <c r="AV63" s="23"/>
      <c r="AW63" s="23"/>
      <c r="AX63" s="182"/>
      <c r="AY63" s="124"/>
      <c r="AZ63" s="124"/>
      <c r="BA63" s="124"/>
      <c r="BB63" s="48"/>
      <c r="BC63" s="160"/>
      <c r="BD63" s="125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</row>
    <row r="64" spans="2:69" ht="15" customHeight="1" x14ac:dyDescent="0.25">
      <c r="B64" s="47"/>
      <c r="C64" s="47">
        <v>1</v>
      </c>
      <c r="D64" s="47">
        <v>1</v>
      </c>
      <c r="E64" s="48"/>
      <c r="F64" s="48"/>
      <c r="G64" s="48">
        <v>1</v>
      </c>
      <c r="H64" s="49"/>
      <c r="I64" s="85"/>
      <c r="J64" s="48"/>
      <c r="K64" s="48">
        <v>1</v>
      </c>
      <c r="L64" s="48">
        <v>1</v>
      </c>
      <c r="M64" s="48">
        <v>1</v>
      </c>
      <c r="N64" s="48"/>
      <c r="O64" s="48"/>
      <c r="P64" s="48">
        <v>1</v>
      </c>
      <c r="Q64" s="48"/>
      <c r="R64" s="49">
        <v>1</v>
      </c>
      <c r="AO64">
        <v>17</v>
      </c>
      <c r="AP64" s="180"/>
      <c r="AQ64" s="161" t="s">
        <v>25</v>
      </c>
      <c r="AR64" s="23" t="s">
        <v>142</v>
      </c>
      <c r="AS64" s="23" t="s">
        <v>130</v>
      </c>
      <c r="AT64" s="125" t="s">
        <v>59</v>
      </c>
      <c r="AU64" s="23"/>
      <c r="AV64" s="23"/>
      <c r="AW64" s="23"/>
      <c r="AX64" s="182"/>
      <c r="AY64" s="124"/>
      <c r="AZ64" s="124"/>
      <c r="BA64" s="124"/>
      <c r="BB64" s="48"/>
      <c r="BC64" s="160"/>
      <c r="BD64" s="125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</row>
    <row r="65" spans="2:69" ht="15" customHeight="1" x14ac:dyDescent="0.25">
      <c r="B65" s="53"/>
      <c r="C65" s="53">
        <v>1</v>
      </c>
      <c r="D65" s="53">
        <v>1</v>
      </c>
      <c r="E65" s="54"/>
      <c r="F65" s="54"/>
      <c r="G65" s="54">
        <v>1</v>
      </c>
      <c r="H65" s="55">
        <v>1</v>
      </c>
      <c r="I65" s="85">
        <v>1</v>
      </c>
      <c r="J65" s="48"/>
      <c r="K65" s="48">
        <v>1</v>
      </c>
      <c r="L65" s="48">
        <v>1</v>
      </c>
      <c r="M65" s="48">
        <v>1</v>
      </c>
      <c r="N65" s="48"/>
      <c r="O65" s="48"/>
      <c r="P65" s="48">
        <v>1</v>
      </c>
      <c r="Q65" s="48"/>
      <c r="R65" s="49">
        <v>1</v>
      </c>
      <c r="AO65">
        <v>18</v>
      </c>
      <c r="AP65" s="180"/>
      <c r="AQ65" s="161" t="s">
        <v>23</v>
      </c>
      <c r="AR65" s="23" t="s">
        <v>143</v>
      </c>
      <c r="AS65" s="23" t="s">
        <v>130</v>
      </c>
      <c r="AT65" s="125" t="s">
        <v>58</v>
      </c>
      <c r="AU65" s="23"/>
      <c r="AV65" s="23"/>
      <c r="AW65" s="23"/>
      <c r="AX65" s="182"/>
      <c r="AY65" s="124"/>
      <c r="AZ65" s="124"/>
      <c r="BA65" s="124"/>
      <c r="BB65" s="48"/>
      <c r="BC65" s="160"/>
      <c r="BD65" s="125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</row>
    <row r="66" spans="2:69" x14ac:dyDescent="0.25">
      <c r="B66" s="52"/>
      <c r="C66" s="52">
        <v>1</v>
      </c>
      <c r="D66" s="52">
        <v>1</v>
      </c>
      <c r="E66" s="43"/>
      <c r="F66" s="43">
        <v>1</v>
      </c>
      <c r="G66" s="43"/>
      <c r="H66" s="44"/>
      <c r="I66" s="85"/>
      <c r="J66" s="48"/>
      <c r="K66" s="48">
        <v>1</v>
      </c>
      <c r="L66" s="114">
        <v>1</v>
      </c>
      <c r="M66" s="48">
        <v>1</v>
      </c>
      <c r="N66" s="48">
        <v>1</v>
      </c>
      <c r="O66" s="48"/>
      <c r="P66" s="48">
        <v>1</v>
      </c>
      <c r="Q66" s="48"/>
      <c r="R66" s="49"/>
      <c r="AO66">
        <v>19</v>
      </c>
      <c r="AP66" s="180"/>
      <c r="AQ66" s="161" t="s">
        <v>26</v>
      </c>
      <c r="AR66" s="23" t="s">
        <v>144</v>
      </c>
      <c r="AS66" s="23" t="s">
        <v>130</v>
      </c>
      <c r="AT66" s="126" t="s">
        <v>57</v>
      </c>
      <c r="AU66" s="23"/>
      <c r="AV66" s="23"/>
      <c r="AW66" s="23"/>
      <c r="AX66" s="182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</row>
    <row r="67" spans="2:69" x14ac:dyDescent="0.25">
      <c r="B67" s="47"/>
      <c r="C67" s="47">
        <v>1</v>
      </c>
      <c r="D67" s="47">
        <v>1</v>
      </c>
      <c r="E67" s="48"/>
      <c r="F67" s="48">
        <v>1</v>
      </c>
      <c r="G67" s="48"/>
      <c r="H67" s="49">
        <v>1</v>
      </c>
      <c r="I67" s="115">
        <v>1</v>
      </c>
      <c r="J67" s="48"/>
      <c r="K67" s="48">
        <v>1</v>
      </c>
      <c r="L67" s="114">
        <v>1</v>
      </c>
      <c r="M67" s="48">
        <v>1</v>
      </c>
      <c r="N67" s="48">
        <v>1</v>
      </c>
      <c r="O67" s="48"/>
      <c r="P67" s="48">
        <v>1</v>
      </c>
      <c r="Q67" s="48"/>
      <c r="R67" s="49"/>
      <c r="AO67">
        <v>20</v>
      </c>
      <c r="AP67" s="180"/>
      <c r="AQ67" s="161" t="s">
        <v>24</v>
      </c>
      <c r="AR67" s="23" t="s">
        <v>148</v>
      </c>
      <c r="AS67" s="23" t="s">
        <v>130</v>
      </c>
      <c r="AT67" s="126" t="s">
        <v>56</v>
      </c>
      <c r="AU67" s="23"/>
      <c r="AV67" s="23"/>
      <c r="AW67" s="23"/>
      <c r="AX67" s="182"/>
    </row>
    <row r="68" spans="2:69" x14ac:dyDescent="0.25">
      <c r="B68" s="47"/>
      <c r="C68" s="47">
        <v>1</v>
      </c>
      <c r="D68" s="47">
        <v>1</v>
      </c>
      <c r="E68" s="48"/>
      <c r="F68" s="48">
        <v>1</v>
      </c>
      <c r="G68" s="48">
        <v>1</v>
      </c>
      <c r="H68" s="49"/>
      <c r="I68" s="85"/>
      <c r="J68" s="48"/>
      <c r="K68" s="48">
        <v>1</v>
      </c>
      <c r="L68" s="48">
        <v>1</v>
      </c>
      <c r="M68" s="48">
        <v>1</v>
      </c>
      <c r="N68" s="48"/>
      <c r="O68" s="48"/>
      <c r="P68" s="48">
        <v>1</v>
      </c>
      <c r="Q68" s="48"/>
      <c r="R68" s="49">
        <v>1</v>
      </c>
      <c r="AO68">
        <v>21</v>
      </c>
      <c r="AP68" s="180"/>
      <c r="AQ68" s="161" t="s">
        <v>29</v>
      </c>
      <c r="AR68" s="23" t="s">
        <v>152</v>
      </c>
      <c r="AS68" s="23" t="s">
        <v>130</v>
      </c>
      <c r="AT68" s="125" t="s">
        <v>55</v>
      </c>
      <c r="AU68" s="23"/>
      <c r="AV68" s="23"/>
      <c r="AW68" s="23"/>
      <c r="AX68" s="182"/>
    </row>
    <row r="69" spans="2:69" x14ac:dyDescent="0.25">
      <c r="B69" s="53"/>
      <c r="C69" s="53">
        <v>1</v>
      </c>
      <c r="D69" s="53">
        <v>1</v>
      </c>
      <c r="E69" s="54"/>
      <c r="F69" s="54">
        <v>1</v>
      </c>
      <c r="G69" s="54">
        <v>1</v>
      </c>
      <c r="H69" s="55">
        <v>1</v>
      </c>
      <c r="I69" s="85">
        <v>1</v>
      </c>
      <c r="J69" s="48"/>
      <c r="K69" s="48">
        <v>1</v>
      </c>
      <c r="L69" s="48">
        <v>1</v>
      </c>
      <c r="M69" s="48">
        <v>1</v>
      </c>
      <c r="N69" s="48"/>
      <c r="O69" s="48"/>
      <c r="P69" s="48">
        <v>1</v>
      </c>
      <c r="Q69" s="48"/>
      <c r="R69" s="49">
        <v>1</v>
      </c>
      <c r="AO69">
        <v>22</v>
      </c>
      <c r="AP69" s="180"/>
      <c r="AQ69" s="192" t="s">
        <v>28</v>
      </c>
      <c r="AR69" s="23" t="s">
        <v>145</v>
      </c>
      <c r="AS69" s="23" t="s">
        <v>130</v>
      </c>
      <c r="AT69" s="125" t="s">
        <v>61</v>
      </c>
      <c r="AU69" s="23"/>
      <c r="AV69" s="23"/>
      <c r="AW69" s="23"/>
      <c r="AX69" s="182"/>
    </row>
    <row r="70" spans="2:69" ht="15.75" thickBot="1" x14ac:dyDescent="0.3">
      <c r="B70" s="52"/>
      <c r="C70" s="52">
        <v>1</v>
      </c>
      <c r="D70" s="52">
        <v>1</v>
      </c>
      <c r="E70" s="92">
        <v>1</v>
      </c>
      <c r="F70" s="43"/>
      <c r="G70" s="43"/>
      <c r="H70" s="44"/>
      <c r="I70" s="85"/>
      <c r="J70" s="48"/>
      <c r="K70" s="48">
        <v>1</v>
      </c>
      <c r="L70" s="48">
        <v>1</v>
      </c>
      <c r="M70" s="48">
        <v>1</v>
      </c>
      <c r="N70" s="48"/>
      <c r="O70" s="48"/>
      <c r="P70" s="48">
        <v>1</v>
      </c>
      <c r="Q70" s="48"/>
      <c r="R70" s="49"/>
      <c r="AO70">
        <v>23</v>
      </c>
      <c r="AP70" s="184"/>
      <c r="AQ70" s="185" t="s">
        <v>31</v>
      </c>
      <c r="AR70" s="186" t="s">
        <v>146</v>
      </c>
      <c r="AS70" s="186" t="s">
        <v>130</v>
      </c>
      <c r="AT70" s="187" t="s">
        <v>63</v>
      </c>
      <c r="AU70" s="186"/>
      <c r="AV70" s="186"/>
      <c r="AW70" s="186"/>
      <c r="AX70" s="188"/>
    </row>
    <row r="71" spans="2:69" ht="15.75" thickBot="1" x14ac:dyDescent="0.3">
      <c r="B71" s="47"/>
      <c r="C71" s="47">
        <v>1</v>
      </c>
      <c r="D71" s="47">
        <v>1</v>
      </c>
      <c r="E71" s="69">
        <v>1</v>
      </c>
      <c r="F71" s="48"/>
      <c r="G71" s="48"/>
      <c r="H71" s="49">
        <v>1</v>
      </c>
      <c r="I71" s="85">
        <v>1</v>
      </c>
      <c r="J71" s="48"/>
      <c r="K71" s="48">
        <v>1</v>
      </c>
      <c r="L71" s="48">
        <v>1</v>
      </c>
      <c r="M71" s="48">
        <v>1</v>
      </c>
      <c r="N71" s="48"/>
      <c r="O71" s="48"/>
      <c r="P71" s="48">
        <v>1</v>
      </c>
      <c r="Q71" s="48"/>
      <c r="R71" s="49"/>
    </row>
    <row r="72" spans="2:69" x14ac:dyDescent="0.25">
      <c r="B72" s="52"/>
      <c r="C72" s="52">
        <v>1</v>
      </c>
      <c r="D72" s="52">
        <v>1</v>
      </c>
      <c r="E72" s="92">
        <v>1</v>
      </c>
      <c r="F72" s="43"/>
      <c r="G72" s="92">
        <v>1</v>
      </c>
      <c r="H72" s="44"/>
      <c r="I72" s="87"/>
      <c r="J72" s="43"/>
      <c r="K72" s="43">
        <v>1</v>
      </c>
      <c r="L72" s="43">
        <v>1</v>
      </c>
      <c r="M72" s="43">
        <v>1</v>
      </c>
      <c r="N72" s="43"/>
      <c r="O72" s="43"/>
      <c r="P72" s="78">
        <v>1</v>
      </c>
      <c r="Q72" s="43"/>
      <c r="R72" s="119">
        <v>1</v>
      </c>
      <c r="AP72" s="174" t="s">
        <v>129</v>
      </c>
      <c r="AQ72" s="175" t="s">
        <v>7</v>
      </c>
      <c r="AR72" s="176" t="s">
        <v>154</v>
      </c>
      <c r="AS72" s="177"/>
      <c r="AT72" s="178"/>
      <c r="AU72" s="177"/>
      <c r="AV72" s="177"/>
      <c r="AW72" s="189"/>
      <c r="AX72" s="190"/>
    </row>
    <row r="73" spans="2:69" x14ac:dyDescent="0.25">
      <c r="B73" s="53"/>
      <c r="C73" s="53">
        <v>1</v>
      </c>
      <c r="D73" s="53">
        <v>1</v>
      </c>
      <c r="E73" s="70">
        <v>1</v>
      </c>
      <c r="F73" s="54"/>
      <c r="G73" s="70">
        <v>1</v>
      </c>
      <c r="H73" s="55">
        <v>1</v>
      </c>
      <c r="I73" s="88">
        <v>1</v>
      </c>
      <c r="J73" s="54"/>
      <c r="K73" s="54">
        <v>1</v>
      </c>
      <c r="L73" s="54">
        <v>1</v>
      </c>
      <c r="M73" s="54">
        <v>1</v>
      </c>
      <c r="N73" s="54"/>
      <c r="O73" s="54"/>
      <c r="P73" s="162">
        <v>1</v>
      </c>
      <c r="Q73" s="54"/>
      <c r="R73" s="120">
        <v>1</v>
      </c>
      <c r="AP73" s="193"/>
      <c r="AQ73" s="166"/>
      <c r="AR73" s="194" t="s">
        <v>150</v>
      </c>
      <c r="AS73" s="23"/>
      <c r="AT73" s="122"/>
      <c r="AU73" s="23"/>
      <c r="AV73" s="23"/>
      <c r="AW73" s="124"/>
      <c r="AX73" s="195"/>
    </row>
    <row r="74" spans="2:69" x14ac:dyDescent="0.25">
      <c r="B74" s="47"/>
      <c r="C74" s="47">
        <v>1</v>
      </c>
      <c r="D74" s="47">
        <v>1</v>
      </c>
      <c r="E74" s="69">
        <v>1</v>
      </c>
      <c r="F74" s="48">
        <v>1</v>
      </c>
      <c r="G74" s="48"/>
      <c r="H74" s="48"/>
      <c r="I74" s="85"/>
      <c r="J74" s="48">
        <v>1</v>
      </c>
      <c r="K74" s="48"/>
      <c r="L74" s="48">
        <v>1</v>
      </c>
      <c r="M74" s="114">
        <v>1</v>
      </c>
      <c r="N74" s="48"/>
      <c r="O74" s="48"/>
      <c r="P74" s="48">
        <v>1</v>
      </c>
      <c r="Q74" s="48"/>
      <c r="R74" s="49"/>
      <c r="AO74" t="s">
        <v>136</v>
      </c>
      <c r="AP74" s="193"/>
      <c r="AQ74" s="166"/>
      <c r="AR74" s="194" t="s">
        <v>151</v>
      </c>
      <c r="AS74" s="23"/>
      <c r="AT74" s="122"/>
      <c r="AU74" s="23"/>
      <c r="AV74" s="23"/>
      <c r="AW74" s="124"/>
      <c r="AX74" s="195"/>
    </row>
    <row r="75" spans="2:69" x14ac:dyDescent="0.25">
      <c r="B75" s="47"/>
      <c r="C75" s="47">
        <v>1</v>
      </c>
      <c r="D75" s="47">
        <v>1</v>
      </c>
      <c r="E75" s="69">
        <v>1</v>
      </c>
      <c r="F75" s="48">
        <v>1</v>
      </c>
      <c r="G75" s="48"/>
      <c r="H75" s="48">
        <v>1</v>
      </c>
      <c r="I75" s="115">
        <v>1</v>
      </c>
      <c r="J75" s="48">
        <v>1</v>
      </c>
      <c r="K75" s="48"/>
      <c r="L75" s="48">
        <v>1</v>
      </c>
      <c r="M75" s="114">
        <v>1</v>
      </c>
      <c r="N75" s="48"/>
      <c r="O75" s="48">
        <v>1</v>
      </c>
      <c r="P75" s="48">
        <v>1</v>
      </c>
      <c r="Q75" s="48"/>
      <c r="R75" s="49"/>
      <c r="AO75">
        <v>14</v>
      </c>
      <c r="AP75" s="180"/>
      <c r="AQ75" s="196" t="s">
        <v>27</v>
      </c>
      <c r="AR75" s="23" t="s">
        <v>139</v>
      </c>
      <c r="AS75" s="23" t="s">
        <v>130</v>
      </c>
      <c r="AT75" s="126" t="s">
        <v>64</v>
      </c>
      <c r="AU75" s="23"/>
      <c r="AV75" s="23"/>
      <c r="AW75" s="23"/>
      <c r="AX75" s="182"/>
    </row>
    <row r="76" spans="2:69" x14ac:dyDescent="0.25">
      <c r="B76" s="52"/>
      <c r="C76" s="52">
        <v>1</v>
      </c>
      <c r="D76" s="52">
        <v>1</v>
      </c>
      <c r="E76" s="92">
        <v>1</v>
      </c>
      <c r="F76" s="43">
        <v>1</v>
      </c>
      <c r="G76" s="92">
        <v>1</v>
      </c>
      <c r="H76" s="43"/>
      <c r="I76" s="87"/>
      <c r="J76" s="43"/>
      <c r="K76" s="43">
        <v>1</v>
      </c>
      <c r="L76" s="43">
        <v>1</v>
      </c>
      <c r="M76" s="117">
        <v>1</v>
      </c>
      <c r="N76" s="43">
        <v>1</v>
      </c>
      <c r="O76" s="43"/>
      <c r="P76" s="78">
        <v>1</v>
      </c>
      <c r="Q76" s="43"/>
      <c r="R76" s="119">
        <v>1</v>
      </c>
      <c r="AO76">
        <v>15</v>
      </c>
      <c r="AP76" s="180"/>
      <c r="AQ76" s="196" t="s">
        <v>22</v>
      </c>
      <c r="AR76" s="23" t="s">
        <v>140</v>
      </c>
      <c r="AS76" s="23" t="s">
        <v>130</v>
      </c>
      <c r="AT76" s="126" t="s">
        <v>60</v>
      </c>
      <c r="AU76" s="23"/>
      <c r="AV76" s="23"/>
      <c r="AW76" s="122"/>
      <c r="AX76" s="181"/>
    </row>
    <row r="77" spans="2:69" x14ac:dyDescent="0.25">
      <c r="B77" s="53"/>
      <c r="C77" s="53">
        <v>1</v>
      </c>
      <c r="D77" s="53">
        <v>1</v>
      </c>
      <c r="E77" s="70">
        <v>1</v>
      </c>
      <c r="F77" s="54">
        <v>1</v>
      </c>
      <c r="G77" s="70">
        <v>1</v>
      </c>
      <c r="H77" s="64">
        <v>1</v>
      </c>
      <c r="I77" s="88">
        <v>1</v>
      </c>
      <c r="J77" s="54"/>
      <c r="K77" s="54">
        <v>1</v>
      </c>
      <c r="L77" s="54">
        <v>1</v>
      </c>
      <c r="M77" s="118">
        <v>1</v>
      </c>
      <c r="N77" s="54">
        <v>1</v>
      </c>
      <c r="O77" s="54"/>
      <c r="P77" s="118">
        <v>1</v>
      </c>
      <c r="Q77" s="54"/>
      <c r="R77" s="120">
        <v>1</v>
      </c>
      <c r="AO77">
        <v>16</v>
      </c>
      <c r="AP77" s="180"/>
      <c r="AQ77" s="196" t="s">
        <v>30</v>
      </c>
      <c r="AR77" s="183" t="s">
        <v>141</v>
      </c>
      <c r="AS77" s="23" t="s">
        <v>130</v>
      </c>
      <c r="AT77" s="126" t="s">
        <v>62</v>
      </c>
      <c r="AU77" s="23"/>
      <c r="AV77" s="23"/>
      <c r="AW77" s="23"/>
      <c r="AX77" s="182"/>
    </row>
    <row r="78" spans="2:69" x14ac:dyDescent="0.25">
      <c r="AO78">
        <v>17</v>
      </c>
      <c r="AP78" s="180"/>
      <c r="AQ78" s="196" t="s">
        <v>25</v>
      </c>
      <c r="AR78" s="23" t="s">
        <v>142</v>
      </c>
      <c r="AS78" s="23" t="s">
        <v>130</v>
      </c>
      <c r="AT78" s="125" t="s">
        <v>59</v>
      </c>
      <c r="AU78" s="23"/>
      <c r="AV78" s="23"/>
      <c r="AW78" s="23"/>
      <c r="AX78" s="182"/>
    </row>
    <row r="79" spans="2:69" x14ac:dyDescent="0.25">
      <c r="AO79">
        <v>18</v>
      </c>
      <c r="AP79" s="180"/>
      <c r="AQ79" s="196" t="s">
        <v>23</v>
      </c>
      <c r="AR79" s="23" t="s">
        <v>143</v>
      </c>
      <c r="AS79" s="23" t="s">
        <v>130</v>
      </c>
      <c r="AT79" s="125" t="s">
        <v>58</v>
      </c>
      <c r="AU79" s="23"/>
      <c r="AV79" s="23"/>
      <c r="AW79" s="23"/>
      <c r="AX79" s="182"/>
    </row>
    <row r="80" spans="2:69" x14ac:dyDescent="0.25">
      <c r="AO80">
        <v>19</v>
      </c>
      <c r="AP80" s="180"/>
      <c r="AQ80" s="196" t="s">
        <v>26</v>
      </c>
      <c r="AR80" s="23" t="s">
        <v>144</v>
      </c>
      <c r="AS80" s="23" t="s">
        <v>130</v>
      </c>
      <c r="AT80" s="126" t="s">
        <v>57</v>
      </c>
      <c r="AU80" s="23"/>
      <c r="AV80" s="23"/>
      <c r="AW80" s="23"/>
      <c r="AX80" s="182"/>
    </row>
    <row r="81" spans="41:50" x14ac:dyDescent="0.25">
      <c r="AO81">
        <v>20</v>
      </c>
      <c r="AP81" s="180"/>
      <c r="AQ81" s="196" t="s">
        <v>24</v>
      </c>
      <c r="AR81" s="23" t="s">
        <v>148</v>
      </c>
      <c r="AS81" s="23" t="s">
        <v>130</v>
      </c>
      <c r="AT81" s="126" t="s">
        <v>56</v>
      </c>
      <c r="AU81" s="23"/>
      <c r="AV81" s="23"/>
      <c r="AW81" s="23"/>
      <c r="AX81" s="182"/>
    </row>
    <row r="82" spans="41:50" x14ac:dyDescent="0.25">
      <c r="AO82">
        <v>21</v>
      </c>
      <c r="AP82" s="180"/>
      <c r="AQ82" s="196" t="s">
        <v>29</v>
      </c>
      <c r="AR82" s="23" t="s">
        <v>153</v>
      </c>
      <c r="AS82" s="23" t="s">
        <v>130</v>
      </c>
      <c r="AT82" s="125" t="s">
        <v>55</v>
      </c>
      <c r="AU82" s="23"/>
      <c r="AV82" s="23"/>
      <c r="AW82" s="23"/>
      <c r="AX82" s="182"/>
    </row>
    <row r="83" spans="41:50" x14ac:dyDescent="0.25">
      <c r="AO83">
        <v>22</v>
      </c>
      <c r="AP83" s="180"/>
      <c r="AQ83" s="196" t="s">
        <v>28</v>
      </c>
      <c r="AR83" s="23" t="s">
        <v>145</v>
      </c>
      <c r="AS83" s="23" t="s">
        <v>130</v>
      </c>
      <c r="AT83" s="125" t="s">
        <v>61</v>
      </c>
      <c r="AU83" s="23"/>
      <c r="AV83" s="23"/>
      <c r="AW83" s="23"/>
      <c r="AX83" s="182"/>
    </row>
    <row r="84" spans="41:50" ht="15.75" thickBot="1" x14ac:dyDescent="0.3">
      <c r="AO84">
        <v>23</v>
      </c>
      <c r="AP84" s="184"/>
      <c r="AQ84" s="185" t="s">
        <v>31</v>
      </c>
      <c r="AR84" s="186" t="s">
        <v>146</v>
      </c>
      <c r="AS84" s="186" t="s">
        <v>130</v>
      </c>
      <c r="AT84" s="187" t="s">
        <v>63</v>
      </c>
      <c r="AU84" s="186"/>
      <c r="AV84" s="186"/>
      <c r="AW84" s="186"/>
      <c r="AX84" s="188"/>
    </row>
  </sheetData>
  <sortState ref="AO61:AX70">
    <sortCondition ref="AO61:AO70"/>
  </sortState>
  <mergeCells count="77">
    <mergeCell ref="Y46:AB46"/>
    <mergeCell ref="AJ46:AM46"/>
    <mergeCell ref="T42:T43"/>
    <mergeCell ref="AE42:AE43"/>
    <mergeCell ref="AC43:AC44"/>
    <mergeCell ref="AN43:AN44"/>
    <mergeCell ref="W45:Z45"/>
    <mergeCell ref="AH45:AK45"/>
    <mergeCell ref="Y38:AB38"/>
    <mergeCell ref="AJ38:AM38"/>
    <mergeCell ref="V40:W40"/>
    <mergeCell ref="Z40:AA40"/>
    <mergeCell ref="AG40:AH40"/>
    <mergeCell ref="AK40:AL40"/>
    <mergeCell ref="T34:T35"/>
    <mergeCell ref="AE34:AE35"/>
    <mergeCell ref="AC35:AC36"/>
    <mergeCell ref="AN35:AN36"/>
    <mergeCell ref="W37:Z37"/>
    <mergeCell ref="AH37:AK37"/>
    <mergeCell ref="Y30:AB30"/>
    <mergeCell ref="AJ30:AM30"/>
    <mergeCell ref="V32:W32"/>
    <mergeCell ref="Z32:AA32"/>
    <mergeCell ref="AG32:AH32"/>
    <mergeCell ref="AK32:AL32"/>
    <mergeCell ref="T26:T27"/>
    <mergeCell ref="AE26:AE27"/>
    <mergeCell ref="AC27:AC28"/>
    <mergeCell ref="AN27:AN28"/>
    <mergeCell ref="W29:Z29"/>
    <mergeCell ref="AH29:AK29"/>
    <mergeCell ref="Y22:AB22"/>
    <mergeCell ref="AJ22:AM22"/>
    <mergeCell ref="V24:W24"/>
    <mergeCell ref="Z24:AA24"/>
    <mergeCell ref="AG24:AH24"/>
    <mergeCell ref="AK24:AL24"/>
    <mergeCell ref="T18:T19"/>
    <mergeCell ref="AE18:AE19"/>
    <mergeCell ref="AC19:AC20"/>
    <mergeCell ref="AN19:AN20"/>
    <mergeCell ref="W21:Z21"/>
    <mergeCell ref="AH21:AK21"/>
    <mergeCell ref="Y14:AB14"/>
    <mergeCell ref="AJ14:AM14"/>
    <mergeCell ref="V16:W16"/>
    <mergeCell ref="Z16:AA16"/>
    <mergeCell ref="AG16:AH16"/>
    <mergeCell ref="AK16:AL16"/>
    <mergeCell ref="AE10:AE11"/>
    <mergeCell ref="AC11:AC12"/>
    <mergeCell ref="AN11:AN12"/>
    <mergeCell ref="W13:Z13"/>
    <mergeCell ref="AH13:AK13"/>
    <mergeCell ref="BN4:BO4"/>
    <mergeCell ref="BN5:BO5"/>
    <mergeCell ref="V8:W8"/>
    <mergeCell ref="Z8:AA8"/>
    <mergeCell ref="AG8:AH8"/>
    <mergeCell ref="AK8:AL8"/>
    <mergeCell ref="W50:AA50"/>
    <mergeCell ref="W51:AA51"/>
    <mergeCell ref="AY3:BM3"/>
    <mergeCell ref="AU4:AV4"/>
    <mergeCell ref="I2:I9"/>
    <mergeCell ref="J2:J9"/>
    <mergeCell ref="K2:K9"/>
    <mergeCell ref="L2:L9"/>
    <mergeCell ref="M2:M9"/>
    <mergeCell ref="N2:N9"/>
    <mergeCell ref="O2:O9"/>
    <mergeCell ref="P2:P9"/>
    <mergeCell ref="Q2:Q9"/>
    <mergeCell ref="R2:R9"/>
    <mergeCell ref="AT3:AW3"/>
    <mergeCell ref="T10:T11"/>
  </mergeCells>
  <conditionalFormatting sqref="U25:AB28">
    <cfRule type="cellIs" dxfId="9" priority="10" operator="greaterThan">
      <formula>0</formula>
    </cfRule>
  </conditionalFormatting>
  <conditionalFormatting sqref="U9:AB12">
    <cfRule type="cellIs" dxfId="8" priority="9" operator="greaterThan">
      <formula>0</formula>
    </cfRule>
  </conditionalFormatting>
  <conditionalFormatting sqref="U17:AB20">
    <cfRule type="cellIs" dxfId="7" priority="8" operator="greaterThan">
      <formula>0</formula>
    </cfRule>
  </conditionalFormatting>
  <conditionalFormatting sqref="U33:AB36">
    <cfRule type="cellIs" dxfId="6" priority="7" operator="greaterThan">
      <formula>0</formula>
    </cfRule>
  </conditionalFormatting>
  <conditionalFormatting sqref="U41:AB44">
    <cfRule type="cellIs" dxfId="5" priority="6" operator="greaterThan">
      <formula>0</formula>
    </cfRule>
  </conditionalFormatting>
  <conditionalFormatting sqref="AF9:AM12">
    <cfRule type="cellIs" dxfId="4" priority="5" operator="greaterThan">
      <formula>0</formula>
    </cfRule>
  </conditionalFormatting>
  <conditionalFormatting sqref="AF17:AM20">
    <cfRule type="cellIs" dxfId="3" priority="4" operator="greaterThan">
      <formula>0</formula>
    </cfRule>
  </conditionalFormatting>
  <conditionalFormatting sqref="AF25:AM28">
    <cfRule type="cellIs" dxfId="2" priority="3" operator="greaterThan">
      <formula>0</formula>
    </cfRule>
  </conditionalFormatting>
  <conditionalFormatting sqref="AF33:AM36">
    <cfRule type="cellIs" dxfId="1" priority="2" operator="greaterThan">
      <formula>0</formula>
    </cfRule>
  </conditionalFormatting>
  <conditionalFormatting sqref="AF41:AM44">
    <cfRule type="cellIs" dxfId="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1"/>
  <sheetViews>
    <sheetView tabSelected="1" topLeftCell="C1" workbookViewId="0">
      <pane ySplit="2" topLeftCell="A66" activePane="bottomLeft" state="frozen"/>
      <selection pane="bottomLeft" activeCell="D67" sqref="D67:D98"/>
    </sheetView>
  </sheetViews>
  <sheetFormatPr baseColWidth="10" defaultRowHeight="15" x14ac:dyDescent="0.25"/>
  <cols>
    <col min="1" max="1" width="11" style="183" bestFit="1" customWidth="1"/>
    <col min="2" max="3" width="1.7109375" style="183" bestFit="1" customWidth="1"/>
    <col min="4" max="4" width="8" style="183" bestFit="1" customWidth="1"/>
    <col min="5" max="5" width="8.85546875" style="183" bestFit="1" customWidth="1"/>
    <col min="6" max="6" width="9" style="183" bestFit="1" customWidth="1"/>
    <col min="7" max="7" width="8.140625" style="183" bestFit="1" customWidth="1"/>
    <col min="8" max="8" width="9.42578125" style="183" bestFit="1" customWidth="1"/>
    <col min="9" max="13" width="8.85546875" style="183" bestFit="1" customWidth="1"/>
    <col min="14" max="14" width="1.7109375" style="183" bestFit="1" customWidth="1"/>
    <col min="15" max="15" width="2.7109375" style="212" bestFit="1" customWidth="1"/>
    <col min="16" max="16" width="1.7109375" style="183" bestFit="1" customWidth="1"/>
    <col min="17" max="17" width="8" style="183" bestFit="1" customWidth="1"/>
    <col min="18" max="26" width="7.5703125" style="183" customWidth="1"/>
    <col min="27" max="28" width="1.7109375" style="183" bestFit="1" customWidth="1"/>
    <col min="29" max="29" width="2" style="242" bestFit="1" customWidth="1"/>
    <col min="30" max="30" width="58.85546875" style="183" bestFit="1" customWidth="1"/>
    <col min="31" max="31" width="11.42578125" style="183"/>
    <col min="32" max="32" width="3.28515625" style="183" customWidth="1"/>
    <col min="33" max="33" width="90.42578125" style="183" bestFit="1" customWidth="1"/>
    <col min="34" max="16384" width="11.42578125" style="183"/>
  </cols>
  <sheetData>
    <row r="1" spans="1:33" ht="193.5" customHeight="1" thickBot="1" x14ac:dyDescent="0.3"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211"/>
      <c r="P1" s="191"/>
      <c r="Q1" s="215" t="s">
        <v>64</v>
      </c>
      <c r="R1" s="215" t="s">
        <v>62</v>
      </c>
      <c r="S1" s="215" t="s">
        <v>63</v>
      </c>
      <c r="T1" s="215" t="s">
        <v>213</v>
      </c>
      <c r="U1" s="215" t="s">
        <v>229</v>
      </c>
      <c r="V1" s="215" t="s">
        <v>57</v>
      </c>
      <c r="W1" s="215" t="s">
        <v>56</v>
      </c>
      <c r="X1" s="215" t="s">
        <v>61</v>
      </c>
      <c r="Y1" s="215" t="s">
        <v>59</v>
      </c>
      <c r="Z1" s="215" t="s">
        <v>228</v>
      </c>
      <c r="AA1" s="191"/>
      <c r="AB1" s="191"/>
      <c r="AC1" s="241"/>
    </row>
    <row r="2" spans="1:33" ht="15.75" thickBot="1" x14ac:dyDescent="0.3">
      <c r="A2" s="216" t="s">
        <v>209</v>
      </c>
      <c r="B2" s="217" t="s">
        <v>210</v>
      </c>
      <c r="C2" s="315" t="s">
        <v>135</v>
      </c>
      <c r="D2" s="316" t="s">
        <v>269</v>
      </c>
      <c r="E2" s="316" t="s">
        <v>220</v>
      </c>
      <c r="F2" s="316" t="s">
        <v>221</v>
      </c>
      <c r="G2" s="316" t="s">
        <v>71</v>
      </c>
      <c r="H2" s="316" t="s">
        <v>219</v>
      </c>
      <c r="I2" s="316" t="s">
        <v>0</v>
      </c>
      <c r="J2" s="316" t="s">
        <v>33</v>
      </c>
      <c r="K2" s="316" t="s">
        <v>1</v>
      </c>
      <c r="L2" s="316" t="s">
        <v>8</v>
      </c>
      <c r="M2" s="316" t="s">
        <v>19</v>
      </c>
      <c r="N2" s="316" t="s">
        <v>134</v>
      </c>
      <c r="O2" s="317" t="s">
        <v>212</v>
      </c>
      <c r="P2" s="316" t="s">
        <v>135</v>
      </c>
      <c r="Q2" s="316" t="s">
        <v>30</v>
      </c>
      <c r="R2" s="316" t="s">
        <v>27</v>
      </c>
      <c r="S2" s="316" t="s">
        <v>31</v>
      </c>
      <c r="T2" s="316" t="s">
        <v>29</v>
      </c>
      <c r="U2" s="316" t="s">
        <v>23</v>
      </c>
      <c r="V2" s="316" t="s">
        <v>26</v>
      </c>
      <c r="W2" s="316" t="s">
        <v>24</v>
      </c>
      <c r="X2" s="316" t="s">
        <v>28</v>
      </c>
      <c r="Y2" s="316" t="s">
        <v>25</v>
      </c>
      <c r="Z2" s="316" t="s">
        <v>22</v>
      </c>
      <c r="AA2" s="316" t="s">
        <v>134</v>
      </c>
      <c r="AB2" s="318" t="s">
        <v>211</v>
      </c>
      <c r="AC2" s="241"/>
      <c r="AG2" s="183" t="str">
        <f>A2&amp;B2&amp;C2&amp;D2&amp;","&amp;E2&amp;","&amp;F2&amp;","&amp;G2&amp;","&amp;H2&amp;","&amp;I2&amp;","&amp;J2&amp;","&amp;K2&amp;","&amp;L2&amp;","&amp;M2&amp;N2&amp;O2&amp;P2&amp;Q2&amp;","&amp;R2&amp;","&amp;S2&amp;","&amp;T2&amp;","&amp;U2&amp;","&amp;V2&amp;","&amp;W2&amp;","&amp;X2&amp;","&amp;Y2&amp;","&amp;Z2&amp;AA2&amp;AB2</f>
        <v>truth_table([Dolphin,low,ram,off,high,A15,A14,A13,A12,A11]-&gt;[O8,O5,O9,O7,O1,O4,O2,O6,O3,O0])</v>
      </c>
    </row>
    <row r="3" spans="1:33" ht="15.75" thickBot="1" x14ac:dyDescent="0.3">
      <c r="A3" s="249"/>
      <c r="B3" s="191"/>
      <c r="C3" s="220" t="s">
        <v>135</v>
      </c>
      <c r="D3" s="299">
        <v>0</v>
      </c>
      <c r="E3" s="214" t="s">
        <v>218</v>
      </c>
      <c r="F3" s="307">
        <v>1</v>
      </c>
      <c r="G3" s="299">
        <v>0</v>
      </c>
      <c r="H3" s="299">
        <v>1</v>
      </c>
      <c r="I3" s="191">
        <v>0</v>
      </c>
      <c r="J3" s="191">
        <v>0</v>
      </c>
      <c r="K3" s="191">
        <v>0</v>
      </c>
      <c r="L3" s="191">
        <v>0</v>
      </c>
      <c r="M3" s="191">
        <v>0</v>
      </c>
      <c r="N3" s="191" t="s">
        <v>134</v>
      </c>
      <c r="O3" s="211" t="s">
        <v>212</v>
      </c>
      <c r="P3" s="191" t="s">
        <v>135</v>
      </c>
      <c r="Q3" s="274">
        <v>0</v>
      </c>
      <c r="R3" s="274">
        <v>1</v>
      </c>
      <c r="S3" s="274">
        <v>0</v>
      </c>
      <c r="T3" s="233" t="s">
        <v>218</v>
      </c>
      <c r="U3" s="230" t="s">
        <v>218</v>
      </c>
      <c r="V3" s="275">
        <v>1</v>
      </c>
      <c r="W3" s="312">
        <v>0</v>
      </c>
      <c r="X3" s="275">
        <v>0</v>
      </c>
      <c r="Y3" s="314">
        <v>0</v>
      </c>
      <c r="Z3" s="276">
        <v>0</v>
      </c>
      <c r="AA3" s="191" t="s">
        <v>134</v>
      </c>
      <c r="AB3" s="221" t="s">
        <v>130</v>
      </c>
      <c r="AC3" s="243" t="s">
        <v>216</v>
      </c>
      <c r="AD3" s="259" t="s">
        <v>267</v>
      </c>
      <c r="AE3" s="241" t="s">
        <v>208</v>
      </c>
      <c r="AG3" s="183" t="str">
        <f t="shared" ref="AG3:AG34" si="0">C3&amp;D3&amp;","&amp;E3&amp;","&amp;F3&amp;","&amp;G3&amp;","&amp;H3&amp;","&amp;I3&amp;","&amp;J3&amp;","&amp;K3&amp;","&amp;L3&amp;","&amp;M3&amp;N3&amp;O3&amp;P3&amp;Q3&amp;","&amp;R3&amp;","&amp;S3&amp;","&amp;T3&amp;","&amp;U3&amp;","&amp;V3&amp;","&amp;W3&amp;","&amp;X3&amp;","&amp;Y3&amp;","&amp;Z3&amp;AA3&amp;AB3&amp;"   "&amp;AC3&amp;AD3</f>
        <v>[0,x,1,0,1,0,0,0,0,0]-&gt;[0,1,0,x,x,1,0,0,0,0];   "ProfDos ein, RAM ProfDOS, LoRom org</v>
      </c>
    </row>
    <row r="4" spans="1:33" x14ac:dyDescent="0.25">
      <c r="A4" s="249"/>
      <c r="B4" s="191"/>
      <c r="C4" s="220" t="s">
        <v>135</v>
      </c>
      <c r="D4" s="214" t="s">
        <v>218</v>
      </c>
      <c r="E4" s="214" t="s">
        <v>218</v>
      </c>
      <c r="F4" s="214" t="s">
        <v>218</v>
      </c>
      <c r="G4" s="214" t="s">
        <v>218</v>
      </c>
      <c r="H4" s="230" t="s">
        <v>218</v>
      </c>
      <c r="I4" s="191">
        <v>0</v>
      </c>
      <c r="J4" s="191">
        <v>0</v>
      </c>
      <c r="K4" s="191">
        <v>0</v>
      </c>
      <c r="L4" s="191">
        <v>0</v>
      </c>
      <c r="M4" s="191">
        <v>1</v>
      </c>
      <c r="N4" s="191" t="s">
        <v>134</v>
      </c>
      <c r="O4" s="211" t="s">
        <v>212</v>
      </c>
      <c r="P4" s="191" t="s">
        <v>135</v>
      </c>
      <c r="Q4" s="191">
        <v>0</v>
      </c>
      <c r="R4" s="191">
        <v>0</v>
      </c>
      <c r="S4" s="191">
        <v>1</v>
      </c>
      <c r="T4" s="233" t="s">
        <v>218</v>
      </c>
      <c r="U4" s="230" t="s">
        <v>218</v>
      </c>
      <c r="V4" s="191">
        <v>1</v>
      </c>
      <c r="W4" s="191">
        <v>1</v>
      </c>
      <c r="X4" s="233" t="s">
        <v>218</v>
      </c>
      <c r="Y4" s="230" t="s">
        <v>218</v>
      </c>
      <c r="Z4" s="191">
        <v>0</v>
      </c>
      <c r="AA4" s="191" t="s">
        <v>134</v>
      </c>
      <c r="AB4" s="221" t="s">
        <v>130</v>
      </c>
      <c r="AC4" s="241"/>
      <c r="AG4" s="183" t="str">
        <f t="shared" si="0"/>
        <v xml:space="preserve">[x,x,x,x,x,0,0,0,0,1]-&gt;[0,0,1,x,x,1,1,x,x,0];   </v>
      </c>
    </row>
    <row r="5" spans="1:33" x14ac:dyDescent="0.25">
      <c r="A5" s="249"/>
      <c r="B5" s="191"/>
      <c r="C5" s="220" t="s">
        <v>135</v>
      </c>
      <c r="D5" s="214" t="s">
        <v>218</v>
      </c>
      <c r="E5" s="214" t="s">
        <v>218</v>
      </c>
      <c r="F5" s="214" t="s">
        <v>218</v>
      </c>
      <c r="G5" s="214" t="s">
        <v>218</v>
      </c>
      <c r="H5" s="230" t="s">
        <v>218</v>
      </c>
      <c r="I5" s="191">
        <v>0</v>
      </c>
      <c r="J5" s="191">
        <v>0</v>
      </c>
      <c r="K5" s="191">
        <v>0</v>
      </c>
      <c r="L5" s="191">
        <v>1</v>
      </c>
      <c r="M5" s="191">
        <v>0</v>
      </c>
      <c r="N5" s="191" t="s">
        <v>134</v>
      </c>
      <c r="O5" s="211" t="s">
        <v>212</v>
      </c>
      <c r="P5" s="191" t="s">
        <v>135</v>
      </c>
      <c r="Q5" s="191">
        <v>0</v>
      </c>
      <c r="R5" s="191">
        <v>1</v>
      </c>
      <c r="S5" s="191">
        <v>0</v>
      </c>
      <c r="T5" s="233" t="s">
        <v>218</v>
      </c>
      <c r="U5" s="230" t="s">
        <v>218</v>
      </c>
      <c r="V5" s="191">
        <v>1</v>
      </c>
      <c r="W5" s="191">
        <v>1</v>
      </c>
      <c r="X5" s="233" t="s">
        <v>218</v>
      </c>
      <c r="Y5" s="230" t="s">
        <v>218</v>
      </c>
      <c r="Z5" s="191">
        <v>0</v>
      </c>
      <c r="AA5" s="191" t="s">
        <v>134</v>
      </c>
      <c r="AB5" s="221" t="s">
        <v>130</v>
      </c>
      <c r="AC5" s="241"/>
      <c r="AE5" s="183" t="s">
        <v>206</v>
      </c>
      <c r="AG5" s="183" t="str">
        <f t="shared" si="0"/>
        <v xml:space="preserve">[x,x,x,x,x,0,0,0,1,0]-&gt;[0,1,0,x,x,1,1,x,x,0];   </v>
      </c>
    </row>
    <row r="6" spans="1:33" x14ac:dyDescent="0.25">
      <c r="A6" s="249"/>
      <c r="B6" s="191"/>
      <c r="C6" s="220" t="s">
        <v>135</v>
      </c>
      <c r="D6" s="214" t="s">
        <v>218</v>
      </c>
      <c r="E6" s="214" t="s">
        <v>218</v>
      </c>
      <c r="F6" s="214" t="s">
        <v>218</v>
      </c>
      <c r="G6" s="214" t="s">
        <v>218</v>
      </c>
      <c r="H6" s="230" t="s">
        <v>218</v>
      </c>
      <c r="I6" s="191">
        <v>0</v>
      </c>
      <c r="J6" s="191">
        <v>0</v>
      </c>
      <c r="K6" s="191">
        <v>0</v>
      </c>
      <c r="L6" s="191">
        <v>1</v>
      </c>
      <c r="M6" s="191">
        <v>1</v>
      </c>
      <c r="N6" s="191" t="s">
        <v>134</v>
      </c>
      <c r="O6" s="211" t="s">
        <v>212</v>
      </c>
      <c r="P6" s="191" t="s">
        <v>135</v>
      </c>
      <c r="Q6" s="191">
        <v>0</v>
      </c>
      <c r="R6" s="191">
        <v>1</v>
      </c>
      <c r="S6" s="191">
        <v>1</v>
      </c>
      <c r="T6" s="233" t="s">
        <v>218</v>
      </c>
      <c r="U6" s="230" t="s">
        <v>218</v>
      </c>
      <c r="V6" s="191">
        <v>1</v>
      </c>
      <c r="W6" s="191">
        <v>1</v>
      </c>
      <c r="X6" s="233" t="s">
        <v>218</v>
      </c>
      <c r="Y6" s="230" t="s">
        <v>218</v>
      </c>
      <c r="Z6" s="191">
        <v>0</v>
      </c>
      <c r="AA6" s="191" t="s">
        <v>134</v>
      </c>
      <c r="AB6" s="221" t="s">
        <v>130</v>
      </c>
      <c r="AC6" s="241"/>
      <c r="AG6" s="183" t="str">
        <f t="shared" si="0"/>
        <v xml:space="preserve">[x,x,x,x,x,0,0,0,1,1]-&gt;[0,1,1,x,x,1,1,x,x,0];   </v>
      </c>
    </row>
    <row r="7" spans="1:33" x14ac:dyDescent="0.25">
      <c r="A7" s="249"/>
      <c r="B7" s="191"/>
      <c r="C7" s="220" t="s">
        <v>135</v>
      </c>
      <c r="D7" s="214" t="s">
        <v>218</v>
      </c>
      <c r="E7" s="214" t="s">
        <v>218</v>
      </c>
      <c r="F7" s="214" t="s">
        <v>218</v>
      </c>
      <c r="G7" s="214" t="s">
        <v>218</v>
      </c>
      <c r="H7" s="230" t="s">
        <v>218</v>
      </c>
      <c r="I7" s="191">
        <v>0</v>
      </c>
      <c r="J7" s="191">
        <v>0</v>
      </c>
      <c r="K7" s="191">
        <v>1</v>
      </c>
      <c r="L7" s="191">
        <v>0</v>
      </c>
      <c r="M7" s="191">
        <v>0</v>
      </c>
      <c r="N7" s="191" t="s">
        <v>134</v>
      </c>
      <c r="O7" s="211" t="s">
        <v>212</v>
      </c>
      <c r="P7" s="191" t="s">
        <v>135</v>
      </c>
      <c r="Q7" s="191">
        <v>0</v>
      </c>
      <c r="R7" s="191">
        <v>0</v>
      </c>
      <c r="S7" s="191">
        <v>0</v>
      </c>
      <c r="T7" s="233" t="s">
        <v>218</v>
      </c>
      <c r="U7" s="230" t="s">
        <v>218</v>
      </c>
      <c r="V7" s="191">
        <v>1</v>
      </c>
      <c r="W7" s="191">
        <v>1</v>
      </c>
      <c r="X7" s="233" t="s">
        <v>218</v>
      </c>
      <c r="Y7" s="230" t="s">
        <v>218</v>
      </c>
      <c r="Z7" s="191">
        <v>0</v>
      </c>
      <c r="AA7" s="191" t="s">
        <v>134</v>
      </c>
      <c r="AB7" s="221" t="s">
        <v>130</v>
      </c>
      <c r="AC7" s="241"/>
      <c r="AE7" s="183" t="s">
        <v>201</v>
      </c>
      <c r="AG7" s="183" t="str">
        <f t="shared" si="0"/>
        <v xml:space="preserve">[x,x,x,x,x,0,0,1,0,0]-&gt;[0,0,0,x,x,1,1,x,x,0];   </v>
      </c>
    </row>
    <row r="8" spans="1:33" thickBot="1" x14ac:dyDescent="0.3">
      <c r="A8" s="249"/>
      <c r="B8" s="191"/>
      <c r="C8" s="220" t="s">
        <v>135</v>
      </c>
      <c r="D8" s="214" t="s">
        <v>218</v>
      </c>
      <c r="E8" s="214" t="s">
        <v>218</v>
      </c>
      <c r="F8" s="214" t="s">
        <v>218</v>
      </c>
      <c r="G8" s="214" t="s">
        <v>218</v>
      </c>
      <c r="H8" s="230" t="s">
        <v>218</v>
      </c>
      <c r="I8" s="191">
        <v>0</v>
      </c>
      <c r="J8" s="191">
        <v>0</v>
      </c>
      <c r="K8" s="191">
        <v>1</v>
      </c>
      <c r="L8" s="191">
        <v>0</v>
      </c>
      <c r="M8" s="191">
        <v>1</v>
      </c>
      <c r="N8" s="191" t="s">
        <v>134</v>
      </c>
      <c r="O8" s="211" t="s">
        <v>212</v>
      </c>
      <c r="P8" s="191" t="s">
        <v>135</v>
      </c>
      <c r="Q8" s="191">
        <v>0</v>
      </c>
      <c r="R8" s="191">
        <v>0</v>
      </c>
      <c r="S8" s="191">
        <v>1</v>
      </c>
      <c r="T8" s="233" t="s">
        <v>218</v>
      </c>
      <c r="U8" s="230" t="s">
        <v>218</v>
      </c>
      <c r="V8" s="191">
        <v>1</v>
      </c>
      <c r="W8" s="191">
        <v>1</v>
      </c>
      <c r="X8" s="233" t="s">
        <v>218</v>
      </c>
      <c r="Y8" s="230" t="s">
        <v>218</v>
      </c>
      <c r="Z8" s="191">
        <v>0</v>
      </c>
      <c r="AA8" s="191" t="s">
        <v>134</v>
      </c>
      <c r="AB8" s="221" t="s">
        <v>130</v>
      </c>
      <c r="AC8" s="241"/>
      <c r="AG8" s="183" t="str">
        <f t="shared" si="0"/>
        <v xml:space="preserve">[x,x,x,x,x,0,0,1,0,1]-&gt;[0,0,1,x,x,1,1,x,x,0];   </v>
      </c>
    </row>
    <row r="9" spans="1:33" thickBot="1" x14ac:dyDescent="0.3">
      <c r="A9" s="249"/>
      <c r="B9" s="191"/>
      <c r="C9" s="220" t="s">
        <v>135</v>
      </c>
      <c r="D9" s="214" t="s">
        <v>218</v>
      </c>
      <c r="E9" s="214" t="s">
        <v>218</v>
      </c>
      <c r="F9" s="214" t="s">
        <v>218</v>
      </c>
      <c r="G9" s="214" t="s">
        <v>218</v>
      </c>
      <c r="H9" s="230" t="s">
        <v>218</v>
      </c>
      <c r="I9" s="191">
        <v>0</v>
      </c>
      <c r="J9" s="191">
        <v>0</v>
      </c>
      <c r="K9" s="191">
        <v>1</v>
      </c>
      <c r="L9" s="191">
        <v>1</v>
      </c>
      <c r="M9" s="191">
        <v>0</v>
      </c>
      <c r="N9" s="191" t="s">
        <v>134</v>
      </c>
      <c r="O9" s="211" t="s">
        <v>212</v>
      </c>
      <c r="P9" s="191" t="s">
        <v>135</v>
      </c>
      <c r="Q9" s="191">
        <v>0</v>
      </c>
      <c r="R9" s="191">
        <v>1</v>
      </c>
      <c r="S9" s="191">
        <v>0</v>
      </c>
      <c r="T9" s="233" t="s">
        <v>218</v>
      </c>
      <c r="U9" s="230" t="s">
        <v>218</v>
      </c>
      <c r="V9" s="191">
        <v>1</v>
      </c>
      <c r="W9" s="191">
        <v>1</v>
      </c>
      <c r="X9" s="233" t="s">
        <v>218</v>
      </c>
      <c r="Y9" s="230" t="s">
        <v>218</v>
      </c>
      <c r="Z9" s="191">
        <v>0</v>
      </c>
      <c r="AA9" s="191" t="s">
        <v>134</v>
      </c>
      <c r="AB9" s="221" t="s">
        <v>130</v>
      </c>
      <c r="AC9" s="241"/>
      <c r="AE9" s="183" t="s">
        <v>199</v>
      </c>
      <c r="AG9" s="183" t="str">
        <f t="shared" si="0"/>
        <v xml:space="preserve">[x,x,x,x,x,0,0,1,1,0]-&gt;[0,1,0,x,x,1,1,x,x,0];   </v>
      </c>
    </row>
    <row r="10" spans="1:33" ht="15.75" thickBot="1" x14ac:dyDescent="0.3">
      <c r="A10" s="249"/>
      <c r="B10" s="191"/>
      <c r="C10" s="220" t="s">
        <v>135</v>
      </c>
      <c r="D10" s="214" t="s">
        <v>218</v>
      </c>
      <c r="E10" s="214" t="s">
        <v>218</v>
      </c>
      <c r="F10" s="214" t="s">
        <v>218</v>
      </c>
      <c r="G10" s="214" t="s">
        <v>218</v>
      </c>
      <c r="H10" s="230" t="s">
        <v>218</v>
      </c>
      <c r="I10" s="191">
        <v>0</v>
      </c>
      <c r="J10" s="191">
        <v>0</v>
      </c>
      <c r="K10" s="191">
        <v>1</v>
      </c>
      <c r="L10" s="191">
        <v>1</v>
      </c>
      <c r="M10" s="191">
        <v>1</v>
      </c>
      <c r="N10" s="191" t="s">
        <v>134</v>
      </c>
      <c r="O10" s="211" t="s">
        <v>212</v>
      </c>
      <c r="P10" s="191" t="s">
        <v>135</v>
      </c>
      <c r="Q10" s="191">
        <v>0</v>
      </c>
      <c r="R10" s="191">
        <v>1</v>
      </c>
      <c r="S10" s="191">
        <v>1</v>
      </c>
      <c r="T10" s="233" t="s">
        <v>218</v>
      </c>
      <c r="U10" s="230" t="s">
        <v>218</v>
      </c>
      <c r="V10" s="191">
        <v>1</v>
      </c>
      <c r="W10" s="191">
        <v>1</v>
      </c>
      <c r="X10" s="233" t="s">
        <v>218</v>
      </c>
      <c r="Y10" s="230" t="s">
        <v>218</v>
      </c>
      <c r="Z10" s="191">
        <v>0</v>
      </c>
      <c r="AA10" s="191" t="s">
        <v>134</v>
      </c>
      <c r="AB10" s="221" t="s">
        <v>130</v>
      </c>
      <c r="AC10" s="241"/>
      <c r="AG10" s="183" t="str">
        <f t="shared" si="0"/>
        <v xml:space="preserve">[x,x,x,x,x,0,0,1,1,1]-&gt;[0,1,1,x,x,1,1,x,x,0];   </v>
      </c>
    </row>
    <row r="11" spans="1:33" x14ac:dyDescent="0.25">
      <c r="A11" s="249"/>
      <c r="B11" s="191"/>
      <c r="C11" s="220" t="s">
        <v>135</v>
      </c>
      <c r="D11" s="297">
        <v>0</v>
      </c>
      <c r="E11" s="214" t="s">
        <v>218</v>
      </c>
      <c r="F11" s="214" t="s">
        <v>218</v>
      </c>
      <c r="G11" s="297">
        <v>0</v>
      </c>
      <c r="H11" s="297">
        <v>1</v>
      </c>
      <c r="I11" s="261">
        <v>0</v>
      </c>
      <c r="J11" s="261">
        <v>1</v>
      </c>
      <c r="K11" s="261">
        <v>0</v>
      </c>
      <c r="L11" s="261">
        <v>0</v>
      </c>
      <c r="M11" s="261">
        <v>0</v>
      </c>
      <c r="N11" s="261" t="s">
        <v>134</v>
      </c>
      <c r="O11" s="268" t="s">
        <v>212</v>
      </c>
      <c r="P11" s="261" t="s">
        <v>135</v>
      </c>
      <c r="Q11" s="261">
        <v>0</v>
      </c>
      <c r="R11" s="261">
        <v>1</v>
      </c>
      <c r="S11" s="261">
        <v>0</v>
      </c>
      <c r="T11" s="233" t="s">
        <v>218</v>
      </c>
      <c r="U11" s="230" t="s">
        <v>218</v>
      </c>
      <c r="V11" s="261">
        <v>1</v>
      </c>
      <c r="W11" s="261">
        <v>0</v>
      </c>
      <c r="X11" s="260">
        <v>0</v>
      </c>
      <c r="Y11" s="262">
        <v>0</v>
      </c>
      <c r="Z11" s="261">
        <v>0</v>
      </c>
      <c r="AA11" s="261" t="s">
        <v>134</v>
      </c>
      <c r="AB11" s="262" t="s">
        <v>130</v>
      </c>
      <c r="AC11" s="241" t="s">
        <v>216</v>
      </c>
      <c r="AD11" s="273" t="s">
        <v>226</v>
      </c>
      <c r="AE11" s="56" t="s">
        <v>196</v>
      </c>
      <c r="AG11" s="183" t="str">
        <f t="shared" si="0"/>
        <v>[0,x,x,0,1,0,1,0,0,0]-&gt;[0,1,0,x,x,1,0,0,0,0];   "ProfDos RAM</v>
      </c>
    </row>
    <row r="12" spans="1:33" thickBot="1" x14ac:dyDescent="0.3">
      <c r="A12" s="249"/>
      <c r="B12" s="191"/>
      <c r="C12" s="220" t="s">
        <v>135</v>
      </c>
      <c r="D12" s="298">
        <v>0</v>
      </c>
      <c r="E12" s="214" t="s">
        <v>218</v>
      </c>
      <c r="F12" s="214" t="s">
        <v>218</v>
      </c>
      <c r="G12" s="298">
        <v>0</v>
      </c>
      <c r="H12" s="298">
        <v>1</v>
      </c>
      <c r="I12" s="261">
        <v>0</v>
      </c>
      <c r="J12" s="261">
        <v>1</v>
      </c>
      <c r="K12" s="261">
        <v>0</v>
      </c>
      <c r="L12" s="261">
        <v>0</v>
      </c>
      <c r="M12" s="261">
        <v>1</v>
      </c>
      <c r="N12" s="261" t="s">
        <v>134</v>
      </c>
      <c r="O12" s="268" t="s">
        <v>212</v>
      </c>
      <c r="P12" s="261" t="s">
        <v>135</v>
      </c>
      <c r="Q12" s="261">
        <v>0</v>
      </c>
      <c r="R12" s="261">
        <v>1</v>
      </c>
      <c r="S12" s="261">
        <v>0</v>
      </c>
      <c r="T12" s="233" t="s">
        <v>218</v>
      </c>
      <c r="U12" s="230" t="s">
        <v>218</v>
      </c>
      <c r="V12" s="261">
        <v>1</v>
      </c>
      <c r="W12" s="261">
        <v>0</v>
      </c>
      <c r="X12" s="260">
        <v>0</v>
      </c>
      <c r="Y12" s="262">
        <v>0</v>
      </c>
      <c r="Z12" s="261">
        <v>0</v>
      </c>
      <c r="AA12" s="261" t="s">
        <v>134</v>
      </c>
      <c r="AB12" s="262" t="s">
        <v>130</v>
      </c>
      <c r="AC12" s="241"/>
      <c r="AD12" s="269"/>
      <c r="AE12" s="194"/>
      <c r="AG12" s="183" t="str">
        <f t="shared" si="0"/>
        <v xml:space="preserve">[0,x,x,0,1,0,1,0,0,1]-&gt;[0,1,0,x,x,1,0,0,0,0];   </v>
      </c>
    </row>
    <row r="13" spans="1:33" thickBot="1" x14ac:dyDescent="0.3">
      <c r="A13" s="249"/>
      <c r="B13" s="191"/>
      <c r="C13" s="220" t="s">
        <v>135</v>
      </c>
      <c r="D13" s="298">
        <v>0</v>
      </c>
      <c r="E13" s="214" t="s">
        <v>218</v>
      </c>
      <c r="F13" s="214" t="s">
        <v>218</v>
      </c>
      <c r="G13" s="298">
        <v>0</v>
      </c>
      <c r="H13" s="298">
        <v>1</v>
      </c>
      <c r="I13" s="261">
        <v>0</v>
      </c>
      <c r="J13" s="261">
        <v>1</v>
      </c>
      <c r="K13" s="261">
        <v>0</v>
      </c>
      <c r="L13" s="261">
        <v>1</v>
      </c>
      <c r="M13" s="261">
        <v>0</v>
      </c>
      <c r="N13" s="261" t="s">
        <v>134</v>
      </c>
      <c r="O13" s="268" t="s">
        <v>212</v>
      </c>
      <c r="P13" s="261" t="s">
        <v>135</v>
      </c>
      <c r="Q13" s="261">
        <v>0</v>
      </c>
      <c r="R13" s="261">
        <v>1</v>
      </c>
      <c r="S13" s="261">
        <v>0</v>
      </c>
      <c r="T13" s="233" t="s">
        <v>218</v>
      </c>
      <c r="U13" s="230" t="s">
        <v>218</v>
      </c>
      <c r="V13" s="261">
        <v>1</v>
      </c>
      <c r="W13" s="261">
        <v>0</v>
      </c>
      <c r="X13" s="260">
        <v>0</v>
      </c>
      <c r="Y13" s="262">
        <v>0</v>
      </c>
      <c r="Z13" s="261">
        <v>0</v>
      </c>
      <c r="AA13" s="261" t="s">
        <v>134</v>
      </c>
      <c r="AB13" s="262" t="s">
        <v>130</v>
      </c>
      <c r="AC13" s="241"/>
      <c r="AD13" s="269"/>
      <c r="AE13" s="194" t="s">
        <v>194</v>
      </c>
      <c r="AG13" s="183" t="str">
        <f t="shared" si="0"/>
        <v xml:space="preserve">[0,x,x,0,1,0,1,0,1,0]-&gt;[0,1,0,x,x,1,0,0,0,0];   </v>
      </c>
    </row>
    <row r="14" spans="1:33" ht="15.75" thickBot="1" x14ac:dyDescent="0.3">
      <c r="A14" s="249"/>
      <c r="B14" s="191"/>
      <c r="C14" s="220" t="s">
        <v>135</v>
      </c>
      <c r="D14" s="298">
        <v>0</v>
      </c>
      <c r="E14" s="214" t="s">
        <v>218</v>
      </c>
      <c r="F14" s="214" t="s">
        <v>218</v>
      </c>
      <c r="G14" s="298">
        <v>0</v>
      </c>
      <c r="H14" s="298">
        <v>1</v>
      </c>
      <c r="I14" s="261">
        <v>0</v>
      </c>
      <c r="J14" s="261">
        <v>1</v>
      </c>
      <c r="K14" s="261">
        <v>0</v>
      </c>
      <c r="L14" s="261">
        <v>1</v>
      </c>
      <c r="M14" s="261">
        <v>1</v>
      </c>
      <c r="N14" s="261" t="s">
        <v>134</v>
      </c>
      <c r="O14" s="268" t="s">
        <v>212</v>
      </c>
      <c r="P14" s="261" t="s">
        <v>135</v>
      </c>
      <c r="Q14" s="261">
        <v>0</v>
      </c>
      <c r="R14" s="261">
        <v>1</v>
      </c>
      <c r="S14" s="261">
        <v>0</v>
      </c>
      <c r="T14" s="233" t="s">
        <v>218</v>
      </c>
      <c r="U14" s="230" t="s">
        <v>218</v>
      </c>
      <c r="V14" s="261">
        <v>1</v>
      </c>
      <c r="W14" s="261">
        <v>0</v>
      </c>
      <c r="X14" s="260">
        <v>0</v>
      </c>
      <c r="Y14" s="262">
        <v>0</v>
      </c>
      <c r="Z14" s="261">
        <v>0</v>
      </c>
      <c r="AA14" s="261" t="s">
        <v>134</v>
      </c>
      <c r="AB14" s="262" t="s">
        <v>130</v>
      </c>
      <c r="AC14" s="241"/>
      <c r="AD14" s="270"/>
      <c r="AE14" s="194"/>
      <c r="AG14" s="183" t="str">
        <f t="shared" si="0"/>
        <v xml:space="preserve">[0,x,x,0,1,0,1,0,1,1]-&gt;[0,1,0,x,x,1,0,0,0,0];   </v>
      </c>
    </row>
    <row r="15" spans="1:33" thickBot="1" x14ac:dyDescent="0.3">
      <c r="A15" s="249"/>
      <c r="B15" s="191"/>
      <c r="C15" s="220" t="s">
        <v>135</v>
      </c>
      <c r="D15" s="298">
        <v>0</v>
      </c>
      <c r="E15" s="214" t="s">
        <v>218</v>
      </c>
      <c r="F15" s="214" t="s">
        <v>218</v>
      </c>
      <c r="G15" s="298">
        <v>0</v>
      </c>
      <c r="H15" s="298">
        <v>1</v>
      </c>
      <c r="I15" s="255">
        <v>0</v>
      </c>
      <c r="J15" s="255">
        <v>1</v>
      </c>
      <c r="K15" s="255">
        <v>1</v>
      </c>
      <c r="L15" s="255">
        <v>0</v>
      </c>
      <c r="M15" s="255">
        <v>0</v>
      </c>
      <c r="N15" s="255" t="s">
        <v>134</v>
      </c>
      <c r="O15" s="271" t="s">
        <v>212</v>
      </c>
      <c r="P15" s="255" t="s">
        <v>135</v>
      </c>
      <c r="Q15" s="255">
        <v>0</v>
      </c>
      <c r="R15" s="255">
        <v>1</v>
      </c>
      <c r="S15" s="255">
        <v>0</v>
      </c>
      <c r="T15" s="255">
        <v>1</v>
      </c>
      <c r="U15" s="255">
        <v>0</v>
      </c>
      <c r="V15" s="255">
        <v>0</v>
      </c>
      <c r="W15" s="255">
        <v>1</v>
      </c>
      <c r="X15" s="254">
        <v>0</v>
      </c>
      <c r="Y15" s="256">
        <v>0</v>
      </c>
      <c r="Z15" s="256">
        <v>0</v>
      </c>
      <c r="AA15" s="261" t="s">
        <v>134</v>
      </c>
      <c r="AB15" s="262" t="s">
        <v>130</v>
      </c>
      <c r="AC15" s="241" t="s">
        <v>216</v>
      </c>
      <c r="AD15" s="266" t="s">
        <v>174</v>
      </c>
      <c r="AE15" s="249" t="s">
        <v>191</v>
      </c>
      <c r="AG15" s="183" t="str">
        <f t="shared" si="0"/>
        <v>[0,x,x,0,1,0,1,1,0,0]-&gt;[0,1,0,1,0,0,1,0,0,0];   "DOS-Extension</v>
      </c>
    </row>
    <row r="16" spans="1:33" ht="15.75" thickBot="1" x14ac:dyDescent="0.3">
      <c r="A16" s="249"/>
      <c r="B16" s="191"/>
      <c r="C16" s="220" t="s">
        <v>135</v>
      </c>
      <c r="D16" s="298">
        <v>0</v>
      </c>
      <c r="E16" s="214" t="s">
        <v>218</v>
      </c>
      <c r="F16" s="214" t="s">
        <v>218</v>
      </c>
      <c r="G16" s="298">
        <v>0</v>
      </c>
      <c r="H16" s="298">
        <v>1</v>
      </c>
      <c r="I16" s="261">
        <v>0</v>
      </c>
      <c r="J16" s="261">
        <v>1</v>
      </c>
      <c r="K16" s="261">
        <v>1</v>
      </c>
      <c r="L16" s="261">
        <v>0</v>
      </c>
      <c r="M16" s="261">
        <v>1</v>
      </c>
      <c r="N16" s="261" t="s">
        <v>134</v>
      </c>
      <c r="O16" s="268" t="s">
        <v>212</v>
      </c>
      <c r="P16" s="261" t="s">
        <v>135</v>
      </c>
      <c r="Q16" s="261">
        <v>0</v>
      </c>
      <c r="R16" s="261">
        <v>1</v>
      </c>
      <c r="S16" s="261">
        <v>0</v>
      </c>
      <c r="T16" s="261">
        <v>1</v>
      </c>
      <c r="U16" s="261">
        <v>0</v>
      </c>
      <c r="V16" s="261">
        <v>0</v>
      </c>
      <c r="W16" s="261">
        <v>1</v>
      </c>
      <c r="X16" s="260">
        <v>0</v>
      </c>
      <c r="Y16" s="262">
        <v>0</v>
      </c>
      <c r="Z16" s="262">
        <v>1</v>
      </c>
      <c r="AA16" s="261" t="s">
        <v>134</v>
      </c>
      <c r="AB16" s="262" t="s">
        <v>130</v>
      </c>
      <c r="AC16" s="241"/>
      <c r="AD16" s="267"/>
      <c r="AE16" s="249"/>
      <c r="AG16" s="183" t="str">
        <f t="shared" si="0"/>
        <v xml:space="preserve">[0,x,x,0,1,0,1,1,0,1]-&gt;[0,1,0,1,0,0,1,0,0,1];   </v>
      </c>
    </row>
    <row r="17" spans="1:33" thickBot="1" x14ac:dyDescent="0.3">
      <c r="A17" s="249"/>
      <c r="B17" s="191"/>
      <c r="C17" s="220" t="s">
        <v>135</v>
      </c>
      <c r="D17" s="298">
        <v>0</v>
      </c>
      <c r="E17" s="214" t="s">
        <v>218</v>
      </c>
      <c r="F17" s="214" t="s">
        <v>218</v>
      </c>
      <c r="G17" s="298">
        <v>0</v>
      </c>
      <c r="H17" s="298">
        <v>1</v>
      </c>
      <c r="I17" s="261">
        <v>0</v>
      </c>
      <c r="J17" s="261">
        <v>1</v>
      </c>
      <c r="K17" s="261">
        <v>1</v>
      </c>
      <c r="L17" s="261">
        <v>1</v>
      </c>
      <c r="M17" s="261">
        <v>0</v>
      </c>
      <c r="N17" s="261" t="s">
        <v>134</v>
      </c>
      <c r="O17" s="268" t="s">
        <v>212</v>
      </c>
      <c r="P17" s="261" t="s">
        <v>135</v>
      </c>
      <c r="Q17" s="261">
        <v>0</v>
      </c>
      <c r="R17" s="261">
        <v>1</v>
      </c>
      <c r="S17" s="261">
        <v>0</v>
      </c>
      <c r="T17" s="261">
        <v>1</v>
      </c>
      <c r="U17" s="261">
        <v>0</v>
      </c>
      <c r="V17" s="261">
        <v>0</v>
      </c>
      <c r="W17" s="261">
        <v>1</v>
      </c>
      <c r="X17" s="260">
        <v>1</v>
      </c>
      <c r="Y17" s="262">
        <v>0</v>
      </c>
      <c r="Z17" s="262">
        <v>0</v>
      </c>
      <c r="AA17" s="261" t="s">
        <v>134</v>
      </c>
      <c r="AB17" s="262" t="s">
        <v>130</v>
      </c>
      <c r="AC17" s="241" t="s">
        <v>216</v>
      </c>
      <c r="AD17" s="266" t="s">
        <v>173</v>
      </c>
      <c r="AE17" s="249" t="s">
        <v>188</v>
      </c>
      <c r="AG17" s="183" t="str">
        <f t="shared" si="0"/>
        <v>[0,x,x,0,1,0,1,1,1,0]-&gt;[0,1,0,1,0,0,1,1,0,0];   "GCR</v>
      </c>
    </row>
    <row r="18" spans="1:33" ht="15.75" thickBot="1" x14ac:dyDescent="0.3">
      <c r="A18" s="249"/>
      <c r="B18" s="191"/>
      <c r="C18" s="220" t="s">
        <v>135</v>
      </c>
      <c r="D18" s="298">
        <v>0</v>
      </c>
      <c r="E18" s="214" t="s">
        <v>218</v>
      </c>
      <c r="F18" s="214" t="s">
        <v>218</v>
      </c>
      <c r="G18" s="298">
        <v>0</v>
      </c>
      <c r="H18" s="298">
        <v>1</v>
      </c>
      <c r="I18" s="264">
        <v>0</v>
      </c>
      <c r="J18" s="264">
        <v>1</v>
      </c>
      <c r="K18" s="264">
        <v>1</v>
      </c>
      <c r="L18" s="264">
        <v>1</v>
      </c>
      <c r="M18" s="264">
        <v>1</v>
      </c>
      <c r="N18" s="264" t="s">
        <v>134</v>
      </c>
      <c r="O18" s="272" t="s">
        <v>212</v>
      </c>
      <c r="P18" s="264" t="s">
        <v>135</v>
      </c>
      <c r="Q18" s="264">
        <v>0</v>
      </c>
      <c r="R18" s="264">
        <v>1</v>
      </c>
      <c r="S18" s="264">
        <v>0</v>
      </c>
      <c r="T18" s="264">
        <v>1</v>
      </c>
      <c r="U18" s="264">
        <v>0</v>
      </c>
      <c r="V18" s="264">
        <v>0</v>
      </c>
      <c r="W18" s="264">
        <v>1</v>
      </c>
      <c r="X18" s="263">
        <v>1</v>
      </c>
      <c r="Y18" s="265">
        <v>1</v>
      </c>
      <c r="Z18" s="265">
        <v>0</v>
      </c>
      <c r="AA18" s="261" t="s">
        <v>134</v>
      </c>
      <c r="AB18" s="262" t="s">
        <v>130</v>
      </c>
      <c r="AC18" s="241"/>
      <c r="AD18" s="267"/>
      <c r="AE18" s="249"/>
      <c r="AG18" s="183" t="str">
        <f t="shared" si="0"/>
        <v xml:space="preserve">[0,x,x,0,1,0,1,1,1,1]-&gt;[0,1,0,1,0,0,1,1,1,0];   </v>
      </c>
    </row>
    <row r="19" spans="1:33" x14ac:dyDescent="0.25">
      <c r="A19" s="249"/>
      <c r="B19" s="191"/>
      <c r="C19" s="220" t="s">
        <v>135</v>
      </c>
      <c r="D19" s="298">
        <v>0</v>
      </c>
      <c r="E19" s="214" t="s">
        <v>218</v>
      </c>
      <c r="F19" s="214" t="s">
        <v>218</v>
      </c>
      <c r="G19" s="298">
        <v>0</v>
      </c>
      <c r="H19" s="298">
        <v>1</v>
      </c>
      <c r="I19" s="191">
        <v>1</v>
      </c>
      <c r="J19" s="191">
        <v>0</v>
      </c>
      <c r="K19" s="191">
        <v>0</v>
      </c>
      <c r="L19" s="191">
        <v>0</v>
      </c>
      <c r="M19" s="191">
        <v>0</v>
      </c>
      <c r="N19" s="191" t="s">
        <v>134</v>
      </c>
      <c r="O19" s="211" t="s">
        <v>212</v>
      </c>
      <c r="P19" s="191" t="s">
        <v>135</v>
      </c>
      <c r="Q19" s="191">
        <v>1</v>
      </c>
      <c r="R19" s="191">
        <v>0</v>
      </c>
      <c r="S19" s="191">
        <v>0</v>
      </c>
      <c r="T19" s="233" t="s">
        <v>218</v>
      </c>
      <c r="U19" s="230" t="s">
        <v>218</v>
      </c>
      <c r="V19" s="191">
        <v>1</v>
      </c>
      <c r="W19" s="191">
        <v>1</v>
      </c>
      <c r="X19" s="233" t="s">
        <v>218</v>
      </c>
      <c r="Y19" s="230" t="s">
        <v>218</v>
      </c>
      <c r="Z19" s="191">
        <v>0</v>
      </c>
      <c r="AA19" s="191" t="s">
        <v>134</v>
      </c>
      <c r="AB19" s="221" t="s">
        <v>130</v>
      </c>
      <c r="AC19" s="241"/>
      <c r="AE19" s="251" t="s">
        <v>183</v>
      </c>
      <c r="AG19" s="183" t="str">
        <f t="shared" si="0"/>
        <v xml:space="preserve">[0,x,x,0,1,1,0,0,0,0]-&gt;[1,0,0,x,x,1,1,x,x,0];   </v>
      </c>
    </row>
    <row r="20" spans="1:33" thickBot="1" x14ac:dyDescent="0.3">
      <c r="A20" s="249"/>
      <c r="B20" s="191"/>
      <c r="C20" s="220" t="s">
        <v>135</v>
      </c>
      <c r="D20" s="298">
        <v>0</v>
      </c>
      <c r="E20" s="214" t="s">
        <v>218</v>
      </c>
      <c r="F20" s="214" t="s">
        <v>218</v>
      </c>
      <c r="G20" s="298">
        <v>0</v>
      </c>
      <c r="H20" s="298">
        <v>1</v>
      </c>
      <c r="I20" s="191">
        <v>1</v>
      </c>
      <c r="J20" s="191">
        <v>0</v>
      </c>
      <c r="K20" s="191">
        <v>0</v>
      </c>
      <c r="L20" s="191">
        <v>0</v>
      </c>
      <c r="M20" s="191">
        <v>1</v>
      </c>
      <c r="N20" s="191" t="s">
        <v>134</v>
      </c>
      <c r="O20" s="211" t="s">
        <v>212</v>
      </c>
      <c r="P20" s="191" t="s">
        <v>135</v>
      </c>
      <c r="Q20" s="191">
        <v>1</v>
      </c>
      <c r="R20" s="191">
        <v>0</v>
      </c>
      <c r="S20" s="191">
        <v>1</v>
      </c>
      <c r="T20" s="233" t="s">
        <v>218</v>
      </c>
      <c r="U20" s="230" t="s">
        <v>218</v>
      </c>
      <c r="V20" s="191">
        <v>1</v>
      </c>
      <c r="W20" s="191">
        <v>1</v>
      </c>
      <c r="X20" s="233" t="s">
        <v>218</v>
      </c>
      <c r="Y20" s="230" t="s">
        <v>218</v>
      </c>
      <c r="Z20" s="191">
        <v>0</v>
      </c>
      <c r="AA20" s="191" t="s">
        <v>134</v>
      </c>
      <c r="AB20" s="221" t="s">
        <v>130</v>
      </c>
      <c r="AC20" s="241"/>
      <c r="AE20" s="252"/>
      <c r="AG20" s="183" t="str">
        <f t="shared" si="0"/>
        <v xml:space="preserve">[0,x,x,0,1,1,0,0,0,1]-&gt;[1,0,1,x,x,1,1,x,x,0];   </v>
      </c>
    </row>
    <row r="21" spans="1:33" thickBot="1" x14ac:dyDescent="0.3">
      <c r="A21" s="249"/>
      <c r="B21" s="191"/>
      <c r="C21" s="220" t="s">
        <v>135</v>
      </c>
      <c r="D21" s="298">
        <v>0</v>
      </c>
      <c r="E21" s="214" t="s">
        <v>218</v>
      </c>
      <c r="F21" s="214" t="s">
        <v>218</v>
      </c>
      <c r="G21" s="298">
        <v>0</v>
      </c>
      <c r="H21" s="298">
        <v>1</v>
      </c>
      <c r="I21" s="191">
        <v>1</v>
      </c>
      <c r="J21" s="191">
        <v>0</v>
      </c>
      <c r="K21" s="191">
        <v>0</v>
      </c>
      <c r="L21" s="191">
        <v>1</v>
      </c>
      <c r="M21" s="191">
        <v>0</v>
      </c>
      <c r="N21" s="191" t="s">
        <v>134</v>
      </c>
      <c r="O21" s="211" t="s">
        <v>212</v>
      </c>
      <c r="P21" s="191" t="s">
        <v>135</v>
      </c>
      <c r="Q21" s="191">
        <v>1</v>
      </c>
      <c r="R21" s="191">
        <v>1</v>
      </c>
      <c r="S21" s="191">
        <v>0</v>
      </c>
      <c r="T21" s="233" t="s">
        <v>218</v>
      </c>
      <c r="U21" s="230" t="s">
        <v>218</v>
      </c>
      <c r="V21" s="191">
        <v>1</v>
      </c>
      <c r="W21" s="191">
        <v>1</v>
      </c>
      <c r="X21" s="233" t="s">
        <v>218</v>
      </c>
      <c r="Y21" s="230" t="s">
        <v>218</v>
      </c>
      <c r="Z21" s="191">
        <v>0</v>
      </c>
      <c r="AA21" s="191" t="s">
        <v>134</v>
      </c>
      <c r="AB21" s="221" t="s">
        <v>130</v>
      </c>
      <c r="AC21" s="241"/>
      <c r="AE21" s="252" t="s">
        <v>181</v>
      </c>
      <c r="AG21" s="183" t="str">
        <f t="shared" si="0"/>
        <v xml:space="preserve">[0,x,x,0,1,1,0,0,1,0]-&gt;[1,1,0,x,x,1,1,x,x,0];   </v>
      </c>
    </row>
    <row r="22" spans="1:33" thickBot="1" x14ac:dyDescent="0.3">
      <c r="A22" s="249"/>
      <c r="B22" s="191"/>
      <c r="C22" s="220" t="s">
        <v>135</v>
      </c>
      <c r="D22" s="298">
        <v>0</v>
      </c>
      <c r="E22" s="214" t="s">
        <v>218</v>
      </c>
      <c r="F22" s="214" t="s">
        <v>218</v>
      </c>
      <c r="G22" s="298">
        <v>0</v>
      </c>
      <c r="H22" s="298">
        <v>1</v>
      </c>
      <c r="I22" s="191">
        <v>1</v>
      </c>
      <c r="J22" s="191">
        <v>0</v>
      </c>
      <c r="K22" s="191">
        <v>0</v>
      </c>
      <c r="L22" s="191">
        <v>1</v>
      </c>
      <c r="M22" s="191">
        <v>1</v>
      </c>
      <c r="N22" s="191" t="s">
        <v>134</v>
      </c>
      <c r="O22" s="211" t="s">
        <v>212</v>
      </c>
      <c r="P22" s="191" t="s">
        <v>135</v>
      </c>
      <c r="Q22" s="191">
        <v>1</v>
      </c>
      <c r="R22" s="191">
        <v>1</v>
      </c>
      <c r="S22" s="191">
        <v>1</v>
      </c>
      <c r="T22" s="233" t="s">
        <v>218</v>
      </c>
      <c r="U22" s="230" t="s">
        <v>218</v>
      </c>
      <c r="V22" s="191">
        <v>1</v>
      </c>
      <c r="W22" s="191">
        <v>1</v>
      </c>
      <c r="X22" s="233" t="s">
        <v>218</v>
      </c>
      <c r="Y22" s="230" t="s">
        <v>218</v>
      </c>
      <c r="Z22" s="191">
        <v>0</v>
      </c>
      <c r="AA22" s="191" t="s">
        <v>134</v>
      </c>
      <c r="AB22" s="221" t="s">
        <v>130</v>
      </c>
      <c r="AC22" s="241"/>
      <c r="AE22" s="252"/>
      <c r="AG22" s="183" t="str">
        <f t="shared" si="0"/>
        <v xml:space="preserve">[0,x,x,0,1,1,0,0,1,1]-&gt;[1,1,1,x,x,1,1,x,x,0];   </v>
      </c>
    </row>
    <row r="23" spans="1:33" thickBot="1" x14ac:dyDescent="0.3">
      <c r="A23" s="249"/>
      <c r="B23" s="191"/>
      <c r="C23" s="220" t="s">
        <v>135</v>
      </c>
      <c r="D23" s="298">
        <v>0</v>
      </c>
      <c r="E23" s="214" t="s">
        <v>218</v>
      </c>
      <c r="F23" s="214" t="s">
        <v>218</v>
      </c>
      <c r="G23" s="298">
        <v>0</v>
      </c>
      <c r="H23" s="298">
        <v>1</v>
      </c>
      <c r="I23" s="191">
        <v>1</v>
      </c>
      <c r="J23" s="191">
        <v>0</v>
      </c>
      <c r="K23" s="191">
        <v>1</v>
      </c>
      <c r="L23" s="191">
        <v>0</v>
      </c>
      <c r="M23" s="191">
        <v>0</v>
      </c>
      <c r="N23" s="191" t="s">
        <v>134</v>
      </c>
      <c r="O23" s="211" t="s">
        <v>212</v>
      </c>
      <c r="P23" s="191" t="s">
        <v>135</v>
      </c>
      <c r="Q23" s="191">
        <v>0</v>
      </c>
      <c r="R23" s="191">
        <v>1</v>
      </c>
      <c r="S23" s="191">
        <v>0</v>
      </c>
      <c r="T23" s="233" t="s">
        <v>218</v>
      </c>
      <c r="U23" s="230" t="s">
        <v>218</v>
      </c>
      <c r="V23" s="191">
        <v>1</v>
      </c>
      <c r="W23" s="191">
        <v>1</v>
      </c>
      <c r="X23" s="233" t="s">
        <v>218</v>
      </c>
      <c r="Y23" s="230" t="s">
        <v>218</v>
      </c>
      <c r="Z23" s="191">
        <v>0</v>
      </c>
      <c r="AA23" s="191" t="s">
        <v>134</v>
      </c>
      <c r="AB23" s="221" t="s">
        <v>130</v>
      </c>
      <c r="AC23" s="241"/>
      <c r="AE23" s="252" t="s">
        <v>178</v>
      </c>
      <c r="AG23" s="183" t="str">
        <f t="shared" si="0"/>
        <v xml:space="preserve">[0,x,x,0,1,1,0,1,0,0]-&gt;[0,1,0,x,x,1,1,x,x,0];   </v>
      </c>
    </row>
    <row r="24" spans="1:33" thickBot="1" x14ac:dyDescent="0.3">
      <c r="A24" s="249"/>
      <c r="B24" s="191"/>
      <c r="C24" s="220" t="s">
        <v>135</v>
      </c>
      <c r="D24" s="298">
        <v>0</v>
      </c>
      <c r="E24" s="214" t="s">
        <v>218</v>
      </c>
      <c r="F24" s="214" t="s">
        <v>218</v>
      </c>
      <c r="G24" s="298">
        <v>0</v>
      </c>
      <c r="H24" s="298">
        <v>1</v>
      </c>
      <c r="I24" s="191">
        <v>1</v>
      </c>
      <c r="J24" s="191">
        <v>0</v>
      </c>
      <c r="K24" s="191">
        <v>1</v>
      </c>
      <c r="L24" s="191">
        <v>0</v>
      </c>
      <c r="M24" s="191">
        <v>1</v>
      </c>
      <c r="N24" s="191" t="s">
        <v>134</v>
      </c>
      <c r="O24" s="211" t="s">
        <v>212</v>
      </c>
      <c r="P24" s="191" t="s">
        <v>135</v>
      </c>
      <c r="Q24" s="191">
        <v>0</v>
      </c>
      <c r="R24" s="191">
        <v>0</v>
      </c>
      <c r="S24" s="191">
        <v>1</v>
      </c>
      <c r="T24" s="233" t="s">
        <v>218</v>
      </c>
      <c r="U24" s="230" t="s">
        <v>218</v>
      </c>
      <c r="V24" s="191">
        <v>1</v>
      </c>
      <c r="W24" s="191">
        <v>1</v>
      </c>
      <c r="X24" s="233" t="s">
        <v>218</v>
      </c>
      <c r="Y24" s="230" t="s">
        <v>218</v>
      </c>
      <c r="Z24" s="191">
        <v>0</v>
      </c>
      <c r="AA24" s="191" t="s">
        <v>134</v>
      </c>
      <c r="AB24" s="221" t="s">
        <v>130</v>
      </c>
      <c r="AC24" s="241"/>
      <c r="AE24" s="252"/>
      <c r="AG24" s="183" t="str">
        <f t="shared" si="0"/>
        <v xml:space="preserve">[0,x,x,0,1,1,0,1,0,1]-&gt;[0,0,1,x,x,1,1,x,x,0];   </v>
      </c>
    </row>
    <row r="25" spans="1:33" thickBot="1" x14ac:dyDescent="0.3">
      <c r="A25" s="249"/>
      <c r="B25" s="191"/>
      <c r="C25" s="220" t="s">
        <v>135</v>
      </c>
      <c r="D25" s="298">
        <v>0</v>
      </c>
      <c r="E25" s="214" t="s">
        <v>218</v>
      </c>
      <c r="F25" s="214" t="s">
        <v>218</v>
      </c>
      <c r="G25" s="298">
        <v>0</v>
      </c>
      <c r="H25" s="298">
        <v>1</v>
      </c>
      <c r="I25" s="191">
        <v>1</v>
      </c>
      <c r="J25" s="191">
        <v>0</v>
      </c>
      <c r="K25" s="191">
        <v>1</v>
      </c>
      <c r="L25" s="191">
        <v>1</v>
      </c>
      <c r="M25" s="191">
        <v>0</v>
      </c>
      <c r="N25" s="191" t="s">
        <v>134</v>
      </c>
      <c r="O25" s="211" t="s">
        <v>212</v>
      </c>
      <c r="P25" s="191" t="s">
        <v>135</v>
      </c>
      <c r="Q25" s="191">
        <v>0</v>
      </c>
      <c r="R25" s="191">
        <v>1</v>
      </c>
      <c r="S25" s="191">
        <v>0</v>
      </c>
      <c r="T25" s="233" t="s">
        <v>218</v>
      </c>
      <c r="U25" s="230" t="s">
        <v>218</v>
      </c>
      <c r="V25" s="191">
        <v>1</v>
      </c>
      <c r="W25" s="191">
        <v>1</v>
      </c>
      <c r="X25" s="233" t="s">
        <v>218</v>
      </c>
      <c r="Y25" s="230" t="s">
        <v>218</v>
      </c>
      <c r="Z25" s="191">
        <v>0</v>
      </c>
      <c r="AA25" s="191" t="s">
        <v>134</v>
      </c>
      <c r="AB25" s="221" t="s">
        <v>130</v>
      </c>
      <c r="AC25" s="241"/>
      <c r="AE25" s="252" t="s">
        <v>176</v>
      </c>
      <c r="AG25" s="183" t="str">
        <f t="shared" si="0"/>
        <v xml:space="preserve">[0,x,x,0,1,1,0,1,1,0]-&gt;[0,1,0,x,x,1,1,x,x,0];   </v>
      </c>
    </row>
    <row r="26" spans="1:33" ht="15.75" thickBot="1" x14ac:dyDescent="0.3">
      <c r="A26" s="249"/>
      <c r="B26" s="191"/>
      <c r="C26" s="220" t="s">
        <v>135</v>
      </c>
      <c r="D26" s="298">
        <v>0</v>
      </c>
      <c r="E26" s="214" t="s">
        <v>218</v>
      </c>
      <c r="F26" s="214" t="s">
        <v>218</v>
      </c>
      <c r="G26" s="298">
        <v>0</v>
      </c>
      <c r="H26" s="298">
        <v>1</v>
      </c>
      <c r="I26" s="191">
        <v>1</v>
      </c>
      <c r="J26" s="191">
        <v>0</v>
      </c>
      <c r="K26" s="191">
        <v>1</v>
      </c>
      <c r="L26" s="191">
        <v>1</v>
      </c>
      <c r="M26" s="191">
        <v>1</v>
      </c>
      <c r="N26" s="191" t="s">
        <v>134</v>
      </c>
      <c r="O26" s="211" t="s">
        <v>212</v>
      </c>
      <c r="P26" s="191" t="s">
        <v>135</v>
      </c>
      <c r="Q26" s="191">
        <v>0</v>
      </c>
      <c r="R26" s="191">
        <v>0</v>
      </c>
      <c r="S26" s="191">
        <v>1</v>
      </c>
      <c r="T26" s="233" t="s">
        <v>218</v>
      </c>
      <c r="U26" s="230" t="s">
        <v>218</v>
      </c>
      <c r="V26" s="191">
        <v>1</v>
      </c>
      <c r="W26" s="191">
        <v>1</v>
      </c>
      <c r="X26" s="233" t="s">
        <v>218</v>
      </c>
      <c r="Y26" s="230" t="s">
        <v>218</v>
      </c>
      <c r="Z26" s="191">
        <v>0</v>
      </c>
      <c r="AA26" s="191" t="s">
        <v>134</v>
      </c>
      <c r="AB26" s="221" t="s">
        <v>130</v>
      </c>
      <c r="AC26" s="241"/>
      <c r="AE26" s="252"/>
      <c r="AG26" s="183" t="str">
        <f t="shared" si="0"/>
        <v xml:space="preserve">[0,x,x,0,1,1,0,1,1,1]-&gt;[0,0,1,x,x,1,1,x,x,0];   </v>
      </c>
    </row>
    <row r="27" spans="1:33" thickBot="1" x14ac:dyDescent="0.3">
      <c r="A27" s="249"/>
      <c r="B27" s="191"/>
      <c r="C27" s="220" t="s">
        <v>135</v>
      </c>
      <c r="D27" s="298">
        <v>0</v>
      </c>
      <c r="E27" s="304">
        <v>0</v>
      </c>
      <c r="F27" s="214" t="s">
        <v>218</v>
      </c>
      <c r="G27" s="298">
        <v>0</v>
      </c>
      <c r="H27" s="298">
        <v>1</v>
      </c>
      <c r="I27" s="226">
        <v>1</v>
      </c>
      <c r="J27" s="226">
        <v>1</v>
      </c>
      <c r="K27" s="236">
        <v>0</v>
      </c>
      <c r="L27" s="191">
        <v>0</v>
      </c>
      <c r="M27" s="191">
        <v>0</v>
      </c>
      <c r="N27" s="191" t="s">
        <v>134</v>
      </c>
      <c r="O27" s="211" t="s">
        <v>212</v>
      </c>
      <c r="P27" s="191" t="s">
        <v>135</v>
      </c>
      <c r="Q27" s="216">
        <v>1</v>
      </c>
      <c r="R27" s="217">
        <v>0</v>
      </c>
      <c r="S27" s="219">
        <v>0</v>
      </c>
      <c r="T27" s="233" t="s">
        <v>218</v>
      </c>
      <c r="U27" s="230" t="s">
        <v>218</v>
      </c>
      <c r="V27" s="216">
        <v>1</v>
      </c>
      <c r="W27" s="217">
        <v>1</v>
      </c>
      <c r="X27" s="233" t="s">
        <v>218</v>
      </c>
      <c r="Y27" s="230" t="s">
        <v>218</v>
      </c>
      <c r="Z27" s="191">
        <v>0</v>
      </c>
      <c r="AA27" s="191" t="s">
        <v>134</v>
      </c>
      <c r="AB27" s="221" t="s">
        <v>130</v>
      </c>
      <c r="AC27" s="241" t="s">
        <v>216</v>
      </c>
      <c r="AD27" s="295" t="s">
        <v>217</v>
      </c>
      <c r="AE27" s="252" t="s">
        <v>172</v>
      </c>
      <c r="AG27" s="183" t="str">
        <f t="shared" si="0"/>
        <v>[0,0,x,0,1,1,1,0,0,0]-&gt;[1,0,0,x,x,1,1,x,x,0];   "Low-Rom auf dem Board</v>
      </c>
    </row>
    <row r="28" spans="1:33" thickBot="1" x14ac:dyDescent="0.3">
      <c r="A28" s="249"/>
      <c r="B28" s="191"/>
      <c r="C28" s="220" t="s">
        <v>135</v>
      </c>
      <c r="D28" s="298">
        <v>0</v>
      </c>
      <c r="E28" s="281">
        <v>0</v>
      </c>
      <c r="F28" s="214" t="s">
        <v>218</v>
      </c>
      <c r="G28" s="298">
        <v>0</v>
      </c>
      <c r="H28" s="298">
        <v>1</v>
      </c>
      <c r="I28" s="213">
        <v>1</v>
      </c>
      <c r="J28" s="213">
        <v>1</v>
      </c>
      <c r="K28" s="238">
        <v>0</v>
      </c>
      <c r="L28" s="191">
        <v>0</v>
      </c>
      <c r="M28" s="191">
        <v>1</v>
      </c>
      <c r="N28" s="191" t="s">
        <v>134</v>
      </c>
      <c r="O28" s="211" t="s">
        <v>212</v>
      </c>
      <c r="P28" s="191" t="s">
        <v>135</v>
      </c>
      <c r="Q28" s="220">
        <v>1</v>
      </c>
      <c r="R28" s="191">
        <v>0</v>
      </c>
      <c r="S28" s="221">
        <v>1</v>
      </c>
      <c r="T28" s="233" t="s">
        <v>218</v>
      </c>
      <c r="U28" s="230" t="s">
        <v>218</v>
      </c>
      <c r="V28" s="220">
        <v>1</v>
      </c>
      <c r="W28" s="191">
        <v>1</v>
      </c>
      <c r="X28" s="233" t="s">
        <v>218</v>
      </c>
      <c r="Y28" s="230" t="s">
        <v>218</v>
      </c>
      <c r="Z28" s="191">
        <v>0</v>
      </c>
      <c r="AA28" s="191" t="s">
        <v>134</v>
      </c>
      <c r="AB28" s="221" t="s">
        <v>130</v>
      </c>
      <c r="AD28" s="252"/>
      <c r="AE28" s="252"/>
      <c r="AG28" s="183" t="str">
        <f t="shared" si="0"/>
        <v xml:space="preserve">[0,0,x,0,1,1,1,0,0,1]-&gt;[1,0,1,x,x,1,1,x,x,0];   </v>
      </c>
    </row>
    <row r="29" spans="1:33" thickBot="1" x14ac:dyDescent="0.3">
      <c r="A29" s="249"/>
      <c r="B29" s="191"/>
      <c r="C29" s="220" t="s">
        <v>135</v>
      </c>
      <c r="D29" s="298">
        <v>0</v>
      </c>
      <c r="E29" s="281">
        <v>0</v>
      </c>
      <c r="F29" s="214" t="s">
        <v>218</v>
      </c>
      <c r="G29" s="298">
        <v>0</v>
      </c>
      <c r="H29" s="298">
        <v>1</v>
      </c>
      <c r="I29" s="213">
        <v>1</v>
      </c>
      <c r="J29" s="213">
        <v>1</v>
      </c>
      <c r="K29" s="238">
        <v>0</v>
      </c>
      <c r="L29" s="191">
        <v>1</v>
      </c>
      <c r="M29" s="191">
        <v>0</v>
      </c>
      <c r="N29" s="191" t="s">
        <v>134</v>
      </c>
      <c r="O29" s="211" t="s">
        <v>212</v>
      </c>
      <c r="P29" s="191" t="s">
        <v>135</v>
      </c>
      <c r="Q29" s="220">
        <v>1</v>
      </c>
      <c r="R29" s="191">
        <v>1</v>
      </c>
      <c r="S29" s="221">
        <v>0</v>
      </c>
      <c r="T29" s="233" t="s">
        <v>218</v>
      </c>
      <c r="U29" s="230" t="s">
        <v>218</v>
      </c>
      <c r="V29" s="220">
        <v>1</v>
      </c>
      <c r="W29" s="191">
        <v>1</v>
      </c>
      <c r="X29" s="233" t="s">
        <v>218</v>
      </c>
      <c r="Y29" s="230" t="s">
        <v>218</v>
      </c>
      <c r="Z29" s="191">
        <v>0</v>
      </c>
      <c r="AA29" s="191" t="s">
        <v>134</v>
      </c>
      <c r="AB29" s="221" t="s">
        <v>130</v>
      </c>
      <c r="AC29" s="241"/>
      <c r="AD29" s="252"/>
      <c r="AE29" s="252" t="s">
        <v>170</v>
      </c>
      <c r="AG29" s="183" t="str">
        <f t="shared" si="0"/>
        <v xml:space="preserve">[0,0,x,0,1,1,1,0,1,0]-&gt;[1,1,0,x,x,1,1,x,x,0];   </v>
      </c>
    </row>
    <row r="30" spans="1:33" ht="15.75" thickBot="1" x14ac:dyDescent="0.3">
      <c r="A30" s="249"/>
      <c r="B30" s="191"/>
      <c r="C30" s="220" t="s">
        <v>135</v>
      </c>
      <c r="D30" s="298">
        <v>0</v>
      </c>
      <c r="E30" s="282">
        <v>0</v>
      </c>
      <c r="F30" s="214" t="s">
        <v>218</v>
      </c>
      <c r="G30" s="298">
        <v>0</v>
      </c>
      <c r="H30" s="298">
        <v>1</v>
      </c>
      <c r="I30" s="227">
        <v>1</v>
      </c>
      <c r="J30" s="227">
        <v>1</v>
      </c>
      <c r="K30" s="240">
        <v>0</v>
      </c>
      <c r="L30" s="191">
        <v>1</v>
      </c>
      <c r="M30" s="191">
        <v>1</v>
      </c>
      <c r="N30" s="191" t="s">
        <v>134</v>
      </c>
      <c r="O30" s="211" t="s">
        <v>212</v>
      </c>
      <c r="P30" s="191" t="s">
        <v>135</v>
      </c>
      <c r="Q30" s="222">
        <v>1</v>
      </c>
      <c r="R30" s="223">
        <v>1</v>
      </c>
      <c r="S30" s="225">
        <v>1</v>
      </c>
      <c r="T30" s="233" t="s">
        <v>218</v>
      </c>
      <c r="U30" s="230" t="s">
        <v>218</v>
      </c>
      <c r="V30" s="248">
        <v>1</v>
      </c>
      <c r="W30" s="247">
        <v>1</v>
      </c>
      <c r="X30" s="233" t="s">
        <v>218</v>
      </c>
      <c r="Y30" s="230" t="s">
        <v>218</v>
      </c>
      <c r="Z30" s="191">
        <v>0</v>
      </c>
      <c r="AA30" s="191" t="s">
        <v>134</v>
      </c>
      <c r="AB30" s="221" t="s">
        <v>130</v>
      </c>
      <c r="AC30" s="241"/>
      <c r="AD30" s="253"/>
      <c r="AE30" s="252"/>
      <c r="AG30" s="183" t="str">
        <f t="shared" si="0"/>
        <v xml:space="preserve">[0,0,x,0,1,1,1,0,1,1]-&gt;[1,1,1,x,x,1,1,x,x,0];   </v>
      </c>
    </row>
    <row r="31" spans="1:33" thickBot="1" x14ac:dyDescent="0.3">
      <c r="A31" s="249"/>
      <c r="B31" s="191"/>
      <c r="C31" s="220" t="s">
        <v>135</v>
      </c>
      <c r="D31" s="298">
        <v>0</v>
      </c>
      <c r="E31" s="214" t="s">
        <v>218</v>
      </c>
      <c r="F31" s="214" t="s">
        <v>218</v>
      </c>
      <c r="G31" s="298">
        <v>0</v>
      </c>
      <c r="H31" s="298">
        <v>1</v>
      </c>
      <c r="I31" s="217">
        <v>1</v>
      </c>
      <c r="J31" s="217">
        <v>1</v>
      </c>
      <c r="K31" s="219">
        <v>1</v>
      </c>
      <c r="L31" s="191">
        <v>0</v>
      </c>
      <c r="M31" s="191">
        <v>0</v>
      </c>
      <c r="N31" s="191" t="s">
        <v>134</v>
      </c>
      <c r="O31" s="211" t="s">
        <v>212</v>
      </c>
      <c r="P31" s="191" t="s">
        <v>135</v>
      </c>
      <c r="Q31" s="254">
        <v>0</v>
      </c>
      <c r="R31" s="255">
        <v>1</v>
      </c>
      <c r="S31" s="256">
        <v>0</v>
      </c>
      <c r="T31" s="260">
        <v>1</v>
      </c>
      <c r="U31" s="262">
        <v>1</v>
      </c>
      <c r="V31" s="260">
        <v>0</v>
      </c>
      <c r="W31" s="261">
        <v>1</v>
      </c>
      <c r="X31" s="260">
        <v>0</v>
      </c>
      <c r="Y31" s="262">
        <v>0</v>
      </c>
      <c r="Z31" s="191">
        <v>0</v>
      </c>
      <c r="AA31" s="191" t="s">
        <v>134</v>
      </c>
      <c r="AB31" s="221" t="s">
        <v>130</v>
      </c>
      <c r="AC31" s="242" t="s">
        <v>216</v>
      </c>
      <c r="AD31" s="308" t="s">
        <v>214</v>
      </c>
      <c r="AE31" s="252" t="s">
        <v>168</v>
      </c>
      <c r="AG31" s="183" t="str">
        <f t="shared" si="0"/>
        <v>[0,x,x,0,1,1,1,1,0,0]-&gt;[0,1,0,1,1,0,1,0,0,0];   "High-Rom ProfDos</v>
      </c>
    </row>
    <row r="32" spans="1:33" thickBot="1" x14ac:dyDescent="0.3">
      <c r="A32" s="249"/>
      <c r="B32" s="191"/>
      <c r="C32" s="220" t="s">
        <v>135</v>
      </c>
      <c r="D32" s="298">
        <v>0</v>
      </c>
      <c r="E32" s="214" t="s">
        <v>218</v>
      </c>
      <c r="F32" s="214" t="s">
        <v>218</v>
      </c>
      <c r="G32" s="298">
        <v>0</v>
      </c>
      <c r="H32" s="298">
        <v>1</v>
      </c>
      <c r="I32" s="191">
        <v>1</v>
      </c>
      <c r="J32" s="191">
        <v>1</v>
      </c>
      <c r="K32" s="221">
        <v>1</v>
      </c>
      <c r="L32" s="191">
        <v>0</v>
      </c>
      <c r="M32" s="191">
        <v>1</v>
      </c>
      <c r="N32" s="191" t="s">
        <v>134</v>
      </c>
      <c r="O32" s="211" t="s">
        <v>212</v>
      </c>
      <c r="P32" s="191" t="s">
        <v>135</v>
      </c>
      <c r="Q32" s="260">
        <v>0</v>
      </c>
      <c r="R32" s="261">
        <v>1</v>
      </c>
      <c r="S32" s="262">
        <v>0</v>
      </c>
      <c r="T32" s="260">
        <v>1</v>
      </c>
      <c r="U32" s="262">
        <v>1</v>
      </c>
      <c r="V32" s="260">
        <v>0</v>
      </c>
      <c r="W32" s="261">
        <v>1</v>
      </c>
      <c r="X32" s="260">
        <v>0</v>
      </c>
      <c r="Y32" s="262">
        <v>0</v>
      </c>
      <c r="Z32" s="191">
        <v>0</v>
      </c>
      <c r="AA32" s="191" t="s">
        <v>134</v>
      </c>
      <c r="AB32" s="221" t="s">
        <v>130</v>
      </c>
      <c r="AD32" s="294"/>
      <c r="AE32" s="252"/>
      <c r="AG32" s="183" t="str">
        <f t="shared" si="0"/>
        <v xml:space="preserve">[0,x,x,0,1,1,1,1,0,1]-&gt;[0,1,0,1,1,0,1,0,0,0];   </v>
      </c>
    </row>
    <row r="33" spans="1:33" thickBot="1" x14ac:dyDescent="0.3">
      <c r="A33" s="249"/>
      <c r="B33" s="191"/>
      <c r="C33" s="220" t="s">
        <v>135</v>
      </c>
      <c r="D33" s="298">
        <v>0</v>
      </c>
      <c r="E33" s="214" t="s">
        <v>218</v>
      </c>
      <c r="F33" s="214" t="s">
        <v>218</v>
      </c>
      <c r="G33" s="298">
        <v>0</v>
      </c>
      <c r="H33" s="298">
        <v>1</v>
      </c>
      <c r="I33" s="191">
        <v>1</v>
      </c>
      <c r="J33" s="191">
        <v>1</v>
      </c>
      <c r="K33" s="221">
        <v>1</v>
      </c>
      <c r="L33" s="191">
        <v>1</v>
      </c>
      <c r="M33" s="191">
        <v>0</v>
      </c>
      <c r="N33" s="191" t="s">
        <v>134</v>
      </c>
      <c r="O33" s="211" t="s">
        <v>212</v>
      </c>
      <c r="P33" s="191" t="s">
        <v>135</v>
      </c>
      <c r="Q33" s="260">
        <v>0</v>
      </c>
      <c r="R33" s="261">
        <v>1</v>
      </c>
      <c r="S33" s="262">
        <v>0</v>
      </c>
      <c r="T33" s="260">
        <v>1</v>
      </c>
      <c r="U33" s="262">
        <v>1</v>
      </c>
      <c r="V33" s="260">
        <v>0</v>
      </c>
      <c r="W33" s="261">
        <v>1</v>
      </c>
      <c r="X33" s="260">
        <v>0</v>
      </c>
      <c r="Y33" s="262">
        <v>0</v>
      </c>
      <c r="Z33" s="191">
        <v>0</v>
      </c>
      <c r="AA33" s="191" t="s">
        <v>134</v>
      </c>
      <c r="AB33" s="221" t="s">
        <v>130</v>
      </c>
      <c r="AC33" s="241"/>
      <c r="AD33" s="294"/>
      <c r="AE33" s="252" t="s">
        <v>166</v>
      </c>
      <c r="AG33" s="183" t="str">
        <f t="shared" si="0"/>
        <v xml:space="preserve">[0,x,x,0,1,1,1,1,1,0]-&gt;[0,1,0,1,1,0,1,0,0,0];   </v>
      </c>
    </row>
    <row r="34" spans="1:33" ht="15.75" thickBot="1" x14ac:dyDescent="0.3">
      <c r="A34" s="249"/>
      <c r="B34" s="191"/>
      <c r="C34" s="222" t="s">
        <v>135</v>
      </c>
      <c r="D34" s="299">
        <v>0</v>
      </c>
      <c r="E34" s="229" t="s">
        <v>218</v>
      </c>
      <c r="F34" s="229" t="s">
        <v>218</v>
      </c>
      <c r="G34" s="299">
        <v>0</v>
      </c>
      <c r="H34" s="299">
        <v>1</v>
      </c>
      <c r="I34" s="223">
        <v>1</v>
      </c>
      <c r="J34" s="223">
        <v>1</v>
      </c>
      <c r="K34" s="225">
        <v>1</v>
      </c>
      <c r="L34" s="223">
        <v>1</v>
      </c>
      <c r="M34" s="223">
        <v>1</v>
      </c>
      <c r="N34" s="223" t="s">
        <v>134</v>
      </c>
      <c r="O34" s="224" t="s">
        <v>212</v>
      </c>
      <c r="P34" s="223" t="s">
        <v>135</v>
      </c>
      <c r="Q34" s="263">
        <v>0</v>
      </c>
      <c r="R34" s="264">
        <v>1</v>
      </c>
      <c r="S34" s="265">
        <v>0</v>
      </c>
      <c r="T34" s="263">
        <v>1</v>
      </c>
      <c r="U34" s="265">
        <v>1</v>
      </c>
      <c r="V34" s="263">
        <v>0</v>
      </c>
      <c r="W34" s="264">
        <v>1</v>
      </c>
      <c r="X34" s="263">
        <v>0</v>
      </c>
      <c r="Y34" s="265">
        <v>0</v>
      </c>
      <c r="Z34" s="223">
        <v>0</v>
      </c>
      <c r="AA34" s="223" t="s">
        <v>134</v>
      </c>
      <c r="AB34" s="225" t="s">
        <v>130</v>
      </c>
      <c r="AC34" s="241"/>
      <c r="AD34" s="267"/>
      <c r="AE34" s="253"/>
      <c r="AG34" s="183" t="str">
        <f t="shared" si="0"/>
        <v xml:space="preserve">[0,x,x,0,1,1,1,1,1,1]-&gt;[0,1,0,1,1,0,1,0,0,0];   </v>
      </c>
    </row>
    <row r="35" spans="1:33" ht="15.75" thickBot="1" x14ac:dyDescent="0.3">
      <c r="A35" s="249"/>
      <c r="B35" s="191"/>
      <c r="C35" s="220" t="s">
        <v>135</v>
      </c>
      <c r="D35" s="299">
        <v>0</v>
      </c>
      <c r="E35" s="214" t="s">
        <v>218</v>
      </c>
      <c r="F35" s="306">
        <v>0</v>
      </c>
      <c r="G35" s="305">
        <v>0</v>
      </c>
      <c r="H35" s="303">
        <v>1</v>
      </c>
      <c r="I35" s="191">
        <v>0</v>
      </c>
      <c r="J35" s="191">
        <v>0</v>
      </c>
      <c r="K35" s="191">
        <v>0</v>
      </c>
      <c r="L35" s="191">
        <v>0</v>
      </c>
      <c r="M35" s="191">
        <v>0</v>
      </c>
      <c r="N35" s="191" t="s">
        <v>134</v>
      </c>
      <c r="O35" s="211" t="s">
        <v>212</v>
      </c>
      <c r="P35" s="191" t="s">
        <v>135</v>
      </c>
      <c r="Q35" s="257">
        <v>0</v>
      </c>
      <c r="R35" s="313">
        <v>0</v>
      </c>
      <c r="S35" s="258">
        <v>0</v>
      </c>
      <c r="T35" s="233" t="s">
        <v>218</v>
      </c>
      <c r="U35" s="230" t="s">
        <v>218</v>
      </c>
      <c r="V35" s="275">
        <v>1</v>
      </c>
      <c r="W35" s="276">
        <v>1</v>
      </c>
      <c r="X35" s="232" t="s">
        <v>218</v>
      </c>
      <c r="Y35" s="278" t="s">
        <v>218</v>
      </c>
      <c r="Z35" s="274">
        <v>0</v>
      </c>
      <c r="AA35" s="191" t="s">
        <v>134</v>
      </c>
      <c r="AB35" s="221" t="s">
        <v>130</v>
      </c>
      <c r="AC35" s="243" t="s">
        <v>216</v>
      </c>
      <c r="AD35" s="259" t="s">
        <v>278</v>
      </c>
      <c r="AE35" s="241" t="s">
        <v>208</v>
      </c>
      <c r="AG35" s="183" t="str">
        <f t="shared" ref="AG35:AG67" si="1">C35&amp;D35&amp;","&amp;E35&amp;","&amp;F35&amp;","&amp;G35&amp;","&amp;H35&amp;","&amp;I35&amp;","&amp;J35&amp;","&amp;K35&amp;","&amp;L35&amp;","&amp;M35&amp;N35&amp;O35&amp;P35&amp;Q35&amp;","&amp;R35&amp;","&amp;S35&amp;","&amp;T35&amp;","&amp;U35&amp;","&amp;V35&amp;","&amp;W35&amp;","&amp;X35&amp;","&amp;Y35&amp;","&amp;Z35&amp;AA35&amp;AB35&amp;"   "&amp;AC35&amp;AD35</f>
        <v>[0,x,0,0,1,0,0,0,0,0]-&gt;[0,0,0,x,x,1,1,x,x,0];   "ProfDos ein, RAM org, LoRom alt</v>
      </c>
    </row>
    <row r="36" spans="1:33" x14ac:dyDescent="0.25">
      <c r="A36" s="249"/>
      <c r="B36" s="191"/>
      <c r="C36" s="220" t="s">
        <v>135</v>
      </c>
      <c r="D36" s="214" t="s">
        <v>218</v>
      </c>
      <c r="E36" s="214" t="s">
        <v>218</v>
      </c>
      <c r="F36" s="214" t="s">
        <v>218</v>
      </c>
      <c r="G36" s="214" t="s">
        <v>218</v>
      </c>
      <c r="H36" s="214" t="s">
        <v>218</v>
      </c>
      <c r="I36" s="191">
        <v>0</v>
      </c>
      <c r="J36" s="191">
        <v>0</v>
      </c>
      <c r="K36" s="191">
        <v>0</v>
      </c>
      <c r="L36" s="191">
        <v>0</v>
      </c>
      <c r="M36" s="191">
        <v>1</v>
      </c>
      <c r="N36" s="191" t="s">
        <v>134</v>
      </c>
      <c r="O36" s="211" t="s">
        <v>212</v>
      </c>
      <c r="P36" s="191" t="s">
        <v>135</v>
      </c>
      <c r="Q36" s="191">
        <v>0</v>
      </c>
      <c r="R36" s="191">
        <v>0</v>
      </c>
      <c r="S36" s="191">
        <v>1</v>
      </c>
      <c r="T36" s="233" t="s">
        <v>218</v>
      </c>
      <c r="U36" s="230" t="s">
        <v>218</v>
      </c>
      <c r="V36" s="191">
        <v>1</v>
      </c>
      <c r="W36" s="191">
        <v>1</v>
      </c>
      <c r="X36" s="233" t="s">
        <v>218</v>
      </c>
      <c r="Y36" s="230" t="s">
        <v>218</v>
      </c>
      <c r="Z36" s="191">
        <v>0</v>
      </c>
      <c r="AA36" s="191" t="s">
        <v>134</v>
      </c>
      <c r="AB36" s="221" t="s">
        <v>130</v>
      </c>
      <c r="AC36" s="242" t="s">
        <v>216</v>
      </c>
      <c r="AD36" s="307" t="s">
        <v>279</v>
      </c>
      <c r="AG36" s="183" t="str">
        <f t="shared" si="1"/>
        <v>[x,x,x,x,x,0,0,0,0,1]-&gt;[0,0,1,x,x,1,1,x,x,0];   "(Zeile nur einfach aufgeführt)</v>
      </c>
    </row>
    <row r="37" spans="1:33" x14ac:dyDescent="0.25">
      <c r="A37" s="249"/>
      <c r="B37" s="191"/>
      <c r="C37" s="220" t="s">
        <v>135</v>
      </c>
      <c r="D37" s="214" t="s">
        <v>218</v>
      </c>
      <c r="E37" s="214" t="s">
        <v>218</v>
      </c>
      <c r="F37" s="214" t="s">
        <v>218</v>
      </c>
      <c r="G37" s="214" t="s">
        <v>218</v>
      </c>
      <c r="H37" s="214" t="s">
        <v>218</v>
      </c>
      <c r="I37" s="191">
        <v>0</v>
      </c>
      <c r="J37" s="191">
        <v>0</v>
      </c>
      <c r="K37" s="191">
        <v>0</v>
      </c>
      <c r="L37" s="191">
        <v>1</v>
      </c>
      <c r="M37" s="191">
        <v>0</v>
      </c>
      <c r="N37" s="191" t="s">
        <v>134</v>
      </c>
      <c r="O37" s="211" t="s">
        <v>212</v>
      </c>
      <c r="P37" s="191" t="s">
        <v>135</v>
      </c>
      <c r="Q37" s="191">
        <v>0</v>
      </c>
      <c r="R37" s="191">
        <v>1</v>
      </c>
      <c r="S37" s="191">
        <v>0</v>
      </c>
      <c r="T37" s="233" t="s">
        <v>218</v>
      </c>
      <c r="U37" s="230" t="s">
        <v>218</v>
      </c>
      <c r="V37" s="191">
        <v>1</v>
      </c>
      <c r="W37" s="191">
        <v>1</v>
      </c>
      <c r="X37" s="233" t="s">
        <v>218</v>
      </c>
      <c r="Y37" s="230" t="s">
        <v>218</v>
      </c>
      <c r="Z37" s="191">
        <v>0</v>
      </c>
      <c r="AA37" s="191" t="s">
        <v>134</v>
      </c>
      <c r="AB37" s="221" t="s">
        <v>130</v>
      </c>
      <c r="AC37" s="241"/>
      <c r="AE37" s="183" t="s">
        <v>206</v>
      </c>
      <c r="AG37" s="183" t="str">
        <f t="shared" si="1"/>
        <v xml:space="preserve">[x,x,x,x,x,0,0,0,1,0]-&gt;[0,1,0,x,x,1,1,x,x,0];   </v>
      </c>
    </row>
    <row r="38" spans="1:33" x14ac:dyDescent="0.25">
      <c r="A38" s="249"/>
      <c r="B38" s="191"/>
      <c r="C38" s="220" t="s">
        <v>135</v>
      </c>
      <c r="D38" s="214" t="s">
        <v>218</v>
      </c>
      <c r="E38" s="214" t="s">
        <v>218</v>
      </c>
      <c r="F38" s="214" t="s">
        <v>218</v>
      </c>
      <c r="G38" s="214" t="s">
        <v>218</v>
      </c>
      <c r="H38" s="214" t="s">
        <v>218</v>
      </c>
      <c r="I38" s="191">
        <v>0</v>
      </c>
      <c r="J38" s="191">
        <v>0</v>
      </c>
      <c r="K38" s="191">
        <v>0</v>
      </c>
      <c r="L38" s="191">
        <v>1</v>
      </c>
      <c r="M38" s="191">
        <v>1</v>
      </c>
      <c r="N38" s="191" t="s">
        <v>134</v>
      </c>
      <c r="O38" s="211" t="s">
        <v>212</v>
      </c>
      <c r="P38" s="191" t="s">
        <v>135</v>
      </c>
      <c r="Q38" s="191">
        <v>0</v>
      </c>
      <c r="R38" s="191">
        <v>1</v>
      </c>
      <c r="S38" s="191">
        <v>1</v>
      </c>
      <c r="T38" s="233" t="s">
        <v>218</v>
      </c>
      <c r="U38" s="230" t="s">
        <v>218</v>
      </c>
      <c r="V38" s="191">
        <v>1</v>
      </c>
      <c r="W38" s="191">
        <v>1</v>
      </c>
      <c r="X38" s="233" t="s">
        <v>218</v>
      </c>
      <c r="Y38" s="230" t="s">
        <v>218</v>
      </c>
      <c r="Z38" s="191">
        <v>0</v>
      </c>
      <c r="AA38" s="191" t="s">
        <v>134</v>
      </c>
      <c r="AB38" s="221" t="s">
        <v>130</v>
      </c>
      <c r="AC38" s="241"/>
      <c r="AG38" s="183" t="str">
        <f t="shared" si="1"/>
        <v xml:space="preserve">[x,x,x,x,x,0,0,0,1,1]-&gt;[0,1,1,x,x,1,1,x,x,0];   </v>
      </c>
    </row>
    <row r="39" spans="1:33" x14ac:dyDescent="0.25">
      <c r="A39" s="249"/>
      <c r="B39" s="191"/>
      <c r="C39" s="220" t="s">
        <v>135</v>
      </c>
      <c r="D39" s="214" t="s">
        <v>218</v>
      </c>
      <c r="E39" s="214" t="s">
        <v>218</v>
      </c>
      <c r="F39" s="214" t="s">
        <v>218</v>
      </c>
      <c r="G39" s="214" t="s">
        <v>218</v>
      </c>
      <c r="H39" s="214" t="s">
        <v>218</v>
      </c>
      <c r="I39" s="191">
        <v>0</v>
      </c>
      <c r="J39" s="191">
        <v>0</v>
      </c>
      <c r="K39" s="191">
        <v>1</v>
      </c>
      <c r="L39" s="191">
        <v>0</v>
      </c>
      <c r="M39" s="191">
        <v>0</v>
      </c>
      <c r="N39" s="191" t="s">
        <v>134</v>
      </c>
      <c r="O39" s="211" t="s">
        <v>212</v>
      </c>
      <c r="P39" s="191" t="s">
        <v>135</v>
      </c>
      <c r="Q39" s="191">
        <v>0</v>
      </c>
      <c r="R39" s="191">
        <v>0</v>
      </c>
      <c r="S39" s="191">
        <v>0</v>
      </c>
      <c r="T39" s="233" t="s">
        <v>218</v>
      </c>
      <c r="U39" s="230" t="s">
        <v>218</v>
      </c>
      <c r="V39" s="191">
        <v>1</v>
      </c>
      <c r="W39" s="191">
        <v>1</v>
      </c>
      <c r="X39" s="233" t="s">
        <v>218</v>
      </c>
      <c r="Y39" s="230" t="s">
        <v>218</v>
      </c>
      <c r="Z39" s="191">
        <v>0</v>
      </c>
      <c r="AA39" s="191" t="s">
        <v>134</v>
      </c>
      <c r="AB39" s="221" t="s">
        <v>130</v>
      </c>
      <c r="AC39" s="241"/>
      <c r="AE39" s="183" t="s">
        <v>201</v>
      </c>
      <c r="AG39" s="183" t="str">
        <f t="shared" si="1"/>
        <v xml:space="preserve">[x,x,x,x,x,0,0,1,0,0]-&gt;[0,0,0,x,x,1,1,x,x,0];   </v>
      </c>
    </row>
    <row r="40" spans="1:33" x14ac:dyDescent="0.25">
      <c r="A40" s="249"/>
      <c r="B40" s="191"/>
      <c r="C40" s="220" t="s">
        <v>135</v>
      </c>
      <c r="D40" s="214" t="s">
        <v>218</v>
      </c>
      <c r="E40" s="214" t="s">
        <v>218</v>
      </c>
      <c r="F40" s="214" t="s">
        <v>218</v>
      </c>
      <c r="G40" s="214" t="s">
        <v>218</v>
      </c>
      <c r="H40" s="214" t="s">
        <v>218</v>
      </c>
      <c r="I40" s="191">
        <v>0</v>
      </c>
      <c r="J40" s="191">
        <v>0</v>
      </c>
      <c r="K40" s="191">
        <v>1</v>
      </c>
      <c r="L40" s="191">
        <v>0</v>
      </c>
      <c r="M40" s="191">
        <v>1</v>
      </c>
      <c r="N40" s="191" t="s">
        <v>134</v>
      </c>
      <c r="O40" s="211" t="s">
        <v>212</v>
      </c>
      <c r="P40" s="191" t="s">
        <v>135</v>
      </c>
      <c r="Q40" s="191">
        <v>0</v>
      </c>
      <c r="R40" s="191">
        <v>0</v>
      </c>
      <c r="S40" s="191">
        <v>1</v>
      </c>
      <c r="T40" s="233" t="s">
        <v>218</v>
      </c>
      <c r="U40" s="230" t="s">
        <v>218</v>
      </c>
      <c r="V40" s="191">
        <v>1</v>
      </c>
      <c r="W40" s="191">
        <v>1</v>
      </c>
      <c r="X40" s="233" t="s">
        <v>218</v>
      </c>
      <c r="Y40" s="230" t="s">
        <v>218</v>
      </c>
      <c r="Z40" s="191">
        <v>0</v>
      </c>
      <c r="AA40" s="191" t="s">
        <v>134</v>
      </c>
      <c r="AB40" s="221" t="s">
        <v>130</v>
      </c>
      <c r="AC40" s="241"/>
      <c r="AG40" s="183" t="str">
        <f t="shared" si="1"/>
        <v xml:space="preserve">[x,x,x,x,x,0,0,1,0,1]-&gt;[0,0,1,x,x,1,1,x,x,0];   </v>
      </c>
    </row>
    <row r="41" spans="1:33" x14ac:dyDescent="0.25">
      <c r="A41" s="249"/>
      <c r="B41" s="191"/>
      <c r="C41" s="220" t="s">
        <v>135</v>
      </c>
      <c r="D41" s="214" t="s">
        <v>218</v>
      </c>
      <c r="E41" s="214" t="s">
        <v>218</v>
      </c>
      <c r="F41" s="214" t="s">
        <v>218</v>
      </c>
      <c r="G41" s="214" t="s">
        <v>218</v>
      </c>
      <c r="H41" s="214" t="s">
        <v>218</v>
      </c>
      <c r="I41" s="191">
        <v>0</v>
      </c>
      <c r="J41" s="191">
        <v>0</v>
      </c>
      <c r="K41" s="191">
        <v>1</v>
      </c>
      <c r="L41" s="191">
        <v>1</v>
      </c>
      <c r="M41" s="191">
        <v>0</v>
      </c>
      <c r="N41" s="191" t="s">
        <v>134</v>
      </c>
      <c r="O41" s="211" t="s">
        <v>212</v>
      </c>
      <c r="P41" s="191" t="s">
        <v>135</v>
      </c>
      <c r="Q41" s="191">
        <v>0</v>
      </c>
      <c r="R41" s="191">
        <v>1</v>
      </c>
      <c r="S41" s="191">
        <v>0</v>
      </c>
      <c r="T41" s="233" t="s">
        <v>218</v>
      </c>
      <c r="U41" s="230" t="s">
        <v>218</v>
      </c>
      <c r="V41" s="191">
        <v>1</v>
      </c>
      <c r="W41" s="191">
        <v>1</v>
      </c>
      <c r="X41" s="233" t="s">
        <v>218</v>
      </c>
      <c r="Y41" s="230" t="s">
        <v>218</v>
      </c>
      <c r="Z41" s="191">
        <v>0</v>
      </c>
      <c r="AA41" s="191" t="s">
        <v>134</v>
      </c>
      <c r="AB41" s="221" t="s">
        <v>130</v>
      </c>
      <c r="AC41" s="241"/>
      <c r="AE41" s="183" t="s">
        <v>199</v>
      </c>
      <c r="AG41" s="183" t="str">
        <f t="shared" si="1"/>
        <v xml:space="preserve">[x,x,x,x,x,0,0,1,1,0]-&gt;[0,1,0,x,x,1,1,x,x,0];   </v>
      </c>
    </row>
    <row r="42" spans="1:33" ht="15.75" thickBot="1" x14ac:dyDescent="0.3">
      <c r="A42" s="249"/>
      <c r="B42" s="191"/>
      <c r="C42" s="220" t="s">
        <v>135</v>
      </c>
      <c r="D42" s="214" t="s">
        <v>218</v>
      </c>
      <c r="E42" s="214" t="s">
        <v>218</v>
      </c>
      <c r="F42" s="214" t="s">
        <v>218</v>
      </c>
      <c r="G42" s="214" t="s">
        <v>218</v>
      </c>
      <c r="H42" s="214" t="s">
        <v>218</v>
      </c>
      <c r="I42" s="191">
        <v>0</v>
      </c>
      <c r="J42" s="191">
        <v>0</v>
      </c>
      <c r="K42" s="191">
        <v>1</v>
      </c>
      <c r="L42" s="191">
        <v>1</v>
      </c>
      <c r="M42" s="191">
        <v>1</v>
      </c>
      <c r="N42" s="191" t="s">
        <v>134</v>
      </c>
      <c r="O42" s="211" t="s">
        <v>212</v>
      </c>
      <c r="P42" s="191" t="s">
        <v>135</v>
      </c>
      <c r="Q42" s="191">
        <v>0</v>
      </c>
      <c r="R42" s="191">
        <v>1</v>
      </c>
      <c r="S42" s="191">
        <v>1</v>
      </c>
      <c r="T42" s="233" t="s">
        <v>218</v>
      </c>
      <c r="U42" s="230" t="s">
        <v>218</v>
      </c>
      <c r="V42" s="191">
        <v>1</v>
      </c>
      <c r="W42" s="191">
        <v>1</v>
      </c>
      <c r="X42" s="234" t="s">
        <v>218</v>
      </c>
      <c r="Y42" s="231" t="s">
        <v>218</v>
      </c>
      <c r="Z42" s="191">
        <v>0</v>
      </c>
      <c r="AA42" s="191" t="s">
        <v>134</v>
      </c>
      <c r="AB42" s="221" t="s">
        <v>130</v>
      </c>
      <c r="AC42" s="241"/>
      <c r="AG42" s="183" t="str">
        <f t="shared" si="1"/>
        <v xml:space="preserve">[x,x,x,x,x,0,0,1,1,1]-&gt;[0,1,1,x,x,1,1,x,x,0];   </v>
      </c>
    </row>
    <row r="43" spans="1:33" x14ac:dyDescent="0.25">
      <c r="A43" s="249"/>
      <c r="B43" s="191"/>
      <c r="C43" s="220" t="s">
        <v>135</v>
      </c>
      <c r="D43" s="297">
        <v>0</v>
      </c>
      <c r="E43" s="214" t="s">
        <v>218</v>
      </c>
      <c r="F43" s="214" t="s">
        <v>218</v>
      </c>
      <c r="G43" s="297">
        <v>0</v>
      </c>
      <c r="H43" s="297">
        <v>1</v>
      </c>
      <c r="I43" s="261">
        <v>0</v>
      </c>
      <c r="J43" s="261">
        <v>1</v>
      </c>
      <c r="K43" s="261">
        <v>0</v>
      </c>
      <c r="L43" s="261">
        <v>0</v>
      </c>
      <c r="M43" s="261">
        <v>0</v>
      </c>
      <c r="N43" s="261" t="s">
        <v>134</v>
      </c>
      <c r="O43" s="268" t="s">
        <v>212</v>
      </c>
      <c r="P43" s="261" t="s">
        <v>135</v>
      </c>
      <c r="Q43" s="261">
        <v>0</v>
      </c>
      <c r="R43" s="261">
        <v>1</v>
      </c>
      <c r="S43" s="261">
        <v>0</v>
      </c>
      <c r="T43" s="233" t="s">
        <v>218</v>
      </c>
      <c r="U43" s="230" t="s">
        <v>218</v>
      </c>
      <c r="V43" s="300">
        <v>1</v>
      </c>
      <c r="W43" s="311">
        <v>0</v>
      </c>
      <c r="X43" s="260">
        <v>0</v>
      </c>
      <c r="Y43" s="262">
        <v>0</v>
      </c>
      <c r="Z43" s="261">
        <v>0</v>
      </c>
      <c r="AA43" s="261" t="s">
        <v>134</v>
      </c>
      <c r="AB43" s="262" t="s">
        <v>130</v>
      </c>
      <c r="AC43" s="241" t="s">
        <v>216</v>
      </c>
      <c r="AD43" s="273" t="s">
        <v>226</v>
      </c>
      <c r="AE43" s="56" t="s">
        <v>196</v>
      </c>
      <c r="AG43" s="183" t="str">
        <f t="shared" si="1"/>
        <v>[0,x,x,0,1,0,1,0,0,0]-&gt;[0,1,0,x,x,1,0,0,0,0];   "ProfDos RAM</v>
      </c>
    </row>
    <row r="44" spans="1:33" x14ac:dyDescent="0.25">
      <c r="A44" s="249"/>
      <c r="B44" s="191"/>
      <c r="C44" s="220" t="s">
        <v>135</v>
      </c>
      <c r="D44" s="298">
        <v>0</v>
      </c>
      <c r="E44" s="214" t="s">
        <v>218</v>
      </c>
      <c r="F44" s="214" t="s">
        <v>218</v>
      </c>
      <c r="G44" s="298">
        <v>0</v>
      </c>
      <c r="H44" s="298">
        <v>1</v>
      </c>
      <c r="I44" s="261">
        <v>0</v>
      </c>
      <c r="J44" s="261">
        <v>1</v>
      </c>
      <c r="K44" s="261">
        <v>0</v>
      </c>
      <c r="L44" s="261">
        <v>0</v>
      </c>
      <c r="M44" s="261">
        <v>1</v>
      </c>
      <c r="N44" s="261" t="s">
        <v>134</v>
      </c>
      <c r="O44" s="268" t="s">
        <v>212</v>
      </c>
      <c r="P44" s="261" t="s">
        <v>135</v>
      </c>
      <c r="Q44" s="261">
        <v>0</v>
      </c>
      <c r="R44" s="261">
        <v>1</v>
      </c>
      <c r="S44" s="261">
        <v>0</v>
      </c>
      <c r="T44" s="233" t="s">
        <v>218</v>
      </c>
      <c r="U44" s="230" t="s">
        <v>218</v>
      </c>
      <c r="V44" s="301">
        <v>1</v>
      </c>
      <c r="W44" s="309">
        <v>0</v>
      </c>
      <c r="X44" s="260">
        <v>0</v>
      </c>
      <c r="Y44" s="262">
        <v>0</v>
      </c>
      <c r="Z44" s="261">
        <v>0</v>
      </c>
      <c r="AA44" s="261" t="s">
        <v>134</v>
      </c>
      <c r="AB44" s="262" t="s">
        <v>130</v>
      </c>
      <c r="AC44" s="241"/>
      <c r="AD44" s="269"/>
      <c r="AE44" s="194"/>
      <c r="AG44" s="183" t="str">
        <f t="shared" si="1"/>
        <v xml:space="preserve">[0,x,x,0,1,0,1,0,0,1]-&gt;[0,1,0,x,x,1,0,0,0,0];   </v>
      </c>
    </row>
    <row r="45" spans="1:33" x14ac:dyDescent="0.25">
      <c r="A45" s="249"/>
      <c r="B45" s="191"/>
      <c r="C45" s="220" t="s">
        <v>135</v>
      </c>
      <c r="D45" s="298">
        <v>0</v>
      </c>
      <c r="E45" s="214" t="s">
        <v>218</v>
      </c>
      <c r="F45" s="214" t="s">
        <v>218</v>
      </c>
      <c r="G45" s="298">
        <v>0</v>
      </c>
      <c r="H45" s="298">
        <v>1</v>
      </c>
      <c r="I45" s="261">
        <v>0</v>
      </c>
      <c r="J45" s="261">
        <v>1</v>
      </c>
      <c r="K45" s="261">
        <v>0</v>
      </c>
      <c r="L45" s="261">
        <v>1</v>
      </c>
      <c r="M45" s="261">
        <v>0</v>
      </c>
      <c r="N45" s="261" t="s">
        <v>134</v>
      </c>
      <c r="O45" s="268" t="s">
        <v>212</v>
      </c>
      <c r="P45" s="261" t="s">
        <v>135</v>
      </c>
      <c r="Q45" s="261">
        <v>0</v>
      </c>
      <c r="R45" s="261">
        <v>1</v>
      </c>
      <c r="S45" s="261">
        <v>0</v>
      </c>
      <c r="T45" s="233" t="s">
        <v>218</v>
      </c>
      <c r="U45" s="230" t="s">
        <v>218</v>
      </c>
      <c r="V45" s="301">
        <v>1</v>
      </c>
      <c r="W45" s="309">
        <v>0</v>
      </c>
      <c r="X45" s="260">
        <v>0</v>
      </c>
      <c r="Y45" s="262">
        <v>0</v>
      </c>
      <c r="Z45" s="261">
        <v>0</v>
      </c>
      <c r="AA45" s="261" t="s">
        <v>134</v>
      </c>
      <c r="AB45" s="262" t="s">
        <v>130</v>
      </c>
      <c r="AC45" s="241"/>
      <c r="AD45" s="269"/>
      <c r="AE45" s="194" t="s">
        <v>194</v>
      </c>
      <c r="AG45" s="183" t="str">
        <f t="shared" si="1"/>
        <v xml:space="preserve">[0,x,x,0,1,0,1,0,1,0]-&gt;[0,1,0,x,x,1,0,0,0,0];   </v>
      </c>
    </row>
    <row r="46" spans="1:33" ht="15.75" thickBot="1" x14ac:dyDescent="0.3">
      <c r="A46" s="249"/>
      <c r="B46" s="191"/>
      <c r="C46" s="220" t="s">
        <v>135</v>
      </c>
      <c r="D46" s="298">
        <v>0</v>
      </c>
      <c r="E46" s="214" t="s">
        <v>218</v>
      </c>
      <c r="F46" s="214" t="s">
        <v>218</v>
      </c>
      <c r="G46" s="298">
        <v>0</v>
      </c>
      <c r="H46" s="298">
        <v>1</v>
      </c>
      <c r="I46" s="261">
        <v>0</v>
      </c>
      <c r="J46" s="261">
        <v>1</v>
      </c>
      <c r="K46" s="261">
        <v>0</v>
      </c>
      <c r="L46" s="261">
        <v>1</v>
      </c>
      <c r="M46" s="261">
        <v>1</v>
      </c>
      <c r="N46" s="261" t="s">
        <v>134</v>
      </c>
      <c r="O46" s="268" t="s">
        <v>212</v>
      </c>
      <c r="P46" s="261" t="s">
        <v>135</v>
      </c>
      <c r="Q46" s="261">
        <v>0</v>
      </c>
      <c r="R46" s="261">
        <v>1</v>
      </c>
      <c r="S46" s="261">
        <v>0</v>
      </c>
      <c r="T46" s="233" t="s">
        <v>218</v>
      </c>
      <c r="U46" s="230" t="s">
        <v>218</v>
      </c>
      <c r="V46" s="302">
        <v>1</v>
      </c>
      <c r="W46" s="310">
        <v>0</v>
      </c>
      <c r="X46" s="260">
        <v>0</v>
      </c>
      <c r="Y46" s="262">
        <v>0</v>
      </c>
      <c r="Z46" s="261">
        <v>0</v>
      </c>
      <c r="AA46" s="261" t="s">
        <v>134</v>
      </c>
      <c r="AB46" s="262" t="s">
        <v>130</v>
      </c>
      <c r="AC46" s="241"/>
      <c r="AD46" s="270"/>
      <c r="AE46" s="194"/>
      <c r="AG46" s="183" t="str">
        <f t="shared" si="1"/>
        <v xml:space="preserve">[0,x,x,0,1,0,1,0,1,1]-&gt;[0,1,0,x,x,1,0,0,0,0];   </v>
      </c>
    </row>
    <row r="47" spans="1:33" x14ac:dyDescent="0.25">
      <c r="A47" s="249"/>
      <c r="B47" s="191"/>
      <c r="C47" s="220" t="s">
        <v>135</v>
      </c>
      <c r="D47" s="298">
        <v>0</v>
      </c>
      <c r="E47" s="214" t="s">
        <v>218</v>
      </c>
      <c r="F47" s="214" t="s">
        <v>218</v>
      </c>
      <c r="G47" s="298">
        <v>0</v>
      </c>
      <c r="H47" s="298">
        <v>1</v>
      </c>
      <c r="I47" s="254">
        <v>0</v>
      </c>
      <c r="J47" s="255">
        <v>1</v>
      </c>
      <c r="K47" s="255">
        <v>1</v>
      </c>
      <c r="L47" s="255">
        <v>0</v>
      </c>
      <c r="M47" s="255">
        <v>0</v>
      </c>
      <c r="N47" s="255" t="s">
        <v>134</v>
      </c>
      <c r="O47" s="271" t="s">
        <v>212</v>
      </c>
      <c r="P47" s="255" t="s">
        <v>135</v>
      </c>
      <c r="Q47" s="255">
        <v>0</v>
      </c>
      <c r="R47" s="255">
        <v>1</v>
      </c>
      <c r="S47" s="255">
        <v>0</v>
      </c>
      <c r="T47" s="255">
        <v>1</v>
      </c>
      <c r="U47" s="255">
        <v>0</v>
      </c>
      <c r="V47" s="311">
        <v>0</v>
      </c>
      <c r="W47" s="300">
        <v>1</v>
      </c>
      <c r="X47" s="254">
        <v>0</v>
      </c>
      <c r="Y47" s="256">
        <v>0</v>
      </c>
      <c r="Z47" s="256">
        <v>0</v>
      </c>
      <c r="AA47" s="261" t="s">
        <v>134</v>
      </c>
      <c r="AB47" s="262" t="s">
        <v>130</v>
      </c>
      <c r="AC47" s="241" t="s">
        <v>216</v>
      </c>
      <c r="AD47" s="266" t="s">
        <v>174</v>
      </c>
      <c r="AE47" s="249" t="s">
        <v>191</v>
      </c>
      <c r="AG47" s="183" t="str">
        <f t="shared" si="1"/>
        <v>[0,x,x,0,1,0,1,1,0,0]-&gt;[0,1,0,1,0,0,1,0,0,0];   "DOS-Extension</v>
      </c>
    </row>
    <row r="48" spans="1:33" ht="15.75" thickBot="1" x14ac:dyDescent="0.3">
      <c r="A48" s="249"/>
      <c r="B48" s="191"/>
      <c r="C48" s="220" t="s">
        <v>135</v>
      </c>
      <c r="D48" s="298">
        <v>0</v>
      </c>
      <c r="E48" s="214" t="s">
        <v>218</v>
      </c>
      <c r="F48" s="214" t="s">
        <v>218</v>
      </c>
      <c r="G48" s="298">
        <v>0</v>
      </c>
      <c r="H48" s="298">
        <v>1</v>
      </c>
      <c r="I48" s="260">
        <v>0</v>
      </c>
      <c r="J48" s="261">
        <v>1</v>
      </c>
      <c r="K48" s="261">
        <v>1</v>
      </c>
      <c r="L48" s="261">
        <v>0</v>
      </c>
      <c r="M48" s="261">
        <v>1</v>
      </c>
      <c r="N48" s="261" t="s">
        <v>134</v>
      </c>
      <c r="O48" s="268" t="s">
        <v>212</v>
      </c>
      <c r="P48" s="261" t="s">
        <v>135</v>
      </c>
      <c r="Q48" s="261">
        <v>0</v>
      </c>
      <c r="R48" s="261">
        <v>1</v>
      </c>
      <c r="S48" s="261">
        <v>0</v>
      </c>
      <c r="T48" s="261">
        <v>1</v>
      </c>
      <c r="U48" s="261">
        <v>0</v>
      </c>
      <c r="V48" s="309">
        <v>0</v>
      </c>
      <c r="W48" s="301">
        <v>1</v>
      </c>
      <c r="X48" s="260">
        <v>0</v>
      </c>
      <c r="Y48" s="262">
        <v>0</v>
      </c>
      <c r="Z48" s="262">
        <v>1</v>
      </c>
      <c r="AA48" s="261" t="s">
        <v>134</v>
      </c>
      <c r="AB48" s="262" t="s">
        <v>130</v>
      </c>
      <c r="AC48" s="241"/>
      <c r="AD48" s="267"/>
      <c r="AE48" s="249"/>
      <c r="AG48" s="183" t="str">
        <f t="shared" si="1"/>
        <v xml:space="preserve">[0,x,x,0,1,0,1,1,0,1]-&gt;[0,1,0,1,0,0,1,0,0,1];   </v>
      </c>
    </row>
    <row r="49" spans="1:33" x14ac:dyDescent="0.25">
      <c r="A49" s="249"/>
      <c r="B49" s="191"/>
      <c r="C49" s="220" t="s">
        <v>135</v>
      </c>
      <c r="D49" s="298">
        <v>0</v>
      </c>
      <c r="E49" s="214" t="s">
        <v>218</v>
      </c>
      <c r="F49" s="214" t="s">
        <v>218</v>
      </c>
      <c r="G49" s="298">
        <v>0</v>
      </c>
      <c r="H49" s="298">
        <v>1</v>
      </c>
      <c r="I49" s="260">
        <v>0</v>
      </c>
      <c r="J49" s="261">
        <v>1</v>
      </c>
      <c r="K49" s="261">
        <v>1</v>
      </c>
      <c r="L49" s="261">
        <v>1</v>
      </c>
      <c r="M49" s="261">
        <v>0</v>
      </c>
      <c r="N49" s="261" t="s">
        <v>134</v>
      </c>
      <c r="O49" s="268" t="s">
        <v>212</v>
      </c>
      <c r="P49" s="261" t="s">
        <v>135</v>
      </c>
      <c r="Q49" s="261">
        <v>0</v>
      </c>
      <c r="R49" s="261">
        <v>1</v>
      </c>
      <c r="S49" s="261">
        <v>0</v>
      </c>
      <c r="T49" s="261">
        <v>1</v>
      </c>
      <c r="U49" s="261">
        <v>0</v>
      </c>
      <c r="V49" s="309">
        <v>0</v>
      </c>
      <c r="W49" s="301">
        <v>1</v>
      </c>
      <c r="X49" s="260">
        <v>1</v>
      </c>
      <c r="Y49" s="262">
        <v>0</v>
      </c>
      <c r="Z49" s="262">
        <v>0</v>
      </c>
      <c r="AA49" s="261" t="s">
        <v>134</v>
      </c>
      <c r="AB49" s="262" t="s">
        <v>130</v>
      </c>
      <c r="AC49" s="241" t="s">
        <v>216</v>
      </c>
      <c r="AD49" s="266" t="s">
        <v>173</v>
      </c>
      <c r="AE49" s="249" t="s">
        <v>188</v>
      </c>
      <c r="AG49" s="183" t="str">
        <f t="shared" si="1"/>
        <v>[0,x,x,0,1,0,1,1,1,0]-&gt;[0,1,0,1,0,0,1,1,0,0];   "GCR</v>
      </c>
    </row>
    <row r="50" spans="1:33" ht="15.75" thickBot="1" x14ac:dyDescent="0.3">
      <c r="A50" s="249"/>
      <c r="B50" s="191"/>
      <c r="C50" s="220" t="s">
        <v>135</v>
      </c>
      <c r="D50" s="298">
        <v>0</v>
      </c>
      <c r="E50" s="214" t="s">
        <v>218</v>
      </c>
      <c r="F50" s="214" t="s">
        <v>218</v>
      </c>
      <c r="G50" s="298">
        <v>0</v>
      </c>
      <c r="H50" s="298">
        <v>1</v>
      </c>
      <c r="I50" s="263">
        <v>0</v>
      </c>
      <c r="J50" s="264">
        <v>1</v>
      </c>
      <c r="K50" s="264">
        <v>1</v>
      </c>
      <c r="L50" s="264">
        <v>1</v>
      </c>
      <c r="M50" s="264">
        <v>1</v>
      </c>
      <c r="N50" s="264" t="s">
        <v>134</v>
      </c>
      <c r="O50" s="272" t="s">
        <v>212</v>
      </c>
      <c r="P50" s="264" t="s">
        <v>135</v>
      </c>
      <c r="Q50" s="264">
        <v>0</v>
      </c>
      <c r="R50" s="264">
        <v>1</v>
      </c>
      <c r="S50" s="264">
        <v>0</v>
      </c>
      <c r="T50" s="264">
        <v>1</v>
      </c>
      <c r="U50" s="264">
        <v>0</v>
      </c>
      <c r="V50" s="310">
        <v>0</v>
      </c>
      <c r="W50" s="302">
        <v>1</v>
      </c>
      <c r="X50" s="263">
        <v>1</v>
      </c>
      <c r="Y50" s="265">
        <v>1</v>
      </c>
      <c r="Z50" s="265">
        <v>0</v>
      </c>
      <c r="AA50" s="261" t="s">
        <v>134</v>
      </c>
      <c r="AB50" s="262" t="s">
        <v>130</v>
      </c>
      <c r="AC50" s="241"/>
      <c r="AD50" s="267"/>
      <c r="AE50" s="249"/>
      <c r="AG50" s="183" t="str">
        <f t="shared" si="1"/>
        <v xml:space="preserve">[0,x,x,0,1,0,1,1,1,1]-&gt;[0,1,0,1,0,0,1,1,1,0];   </v>
      </c>
    </row>
    <row r="51" spans="1:33" x14ac:dyDescent="0.25">
      <c r="A51" s="249"/>
      <c r="B51" s="191"/>
      <c r="C51" s="220" t="s">
        <v>135</v>
      </c>
      <c r="D51" s="298">
        <v>0</v>
      </c>
      <c r="E51" s="214" t="s">
        <v>218</v>
      </c>
      <c r="F51" s="214" t="s">
        <v>218</v>
      </c>
      <c r="G51" s="298">
        <v>0</v>
      </c>
      <c r="H51" s="298">
        <v>1</v>
      </c>
      <c r="I51" s="191">
        <v>1</v>
      </c>
      <c r="J51" s="191">
        <v>0</v>
      </c>
      <c r="K51" s="191">
        <v>0</v>
      </c>
      <c r="L51" s="191">
        <v>0</v>
      </c>
      <c r="M51" s="191">
        <v>0</v>
      </c>
      <c r="N51" s="191" t="s">
        <v>134</v>
      </c>
      <c r="O51" s="211" t="s">
        <v>212</v>
      </c>
      <c r="P51" s="191" t="s">
        <v>135</v>
      </c>
      <c r="Q51" s="191">
        <v>1</v>
      </c>
      <c r="R51" s="191">
        <v>0</v>
      </c>
      <c r="S51" s="191">
        <v>0</v>
      </c>
      <c r="T51" s="233" t="s">
        <v>218</v>
      </c>
      <c r="U51" s="230" t="s">
        <v>218</v>
      </c>
      <c r="V51" s="191">
        <v>1</v>
      </c>
      <c r="W51" s="191">
        <v>1</v>
      </c>
      <c r="X51" s="232" t="s">
        <v>218</v>
      </c>
      <c r="Y51" s="278" t="s">
        <v>218</v>
      </c>
      <c r="Z51" s="191">
        <v>0</v>
      </c>
      <c r="AA51" s="191" t="s">
        <v>134</v>
      </c>
      <c r="AB51" s="221" t="s">
        <v>130</v>
      </c>
      <c r="AC51" s="241"/>
      <c r="AE51" s="251" t="s">
        <v>183</v>
      </c>
      <c r="AG51" s="183" t="str">
        <f t="shared" si="1"/>
        <v xml:space="preserve">[0,x,x,0,1,1,0,0,0,0]-&gt;[1,0,0,x,x,1,1,x,x,0];   </v>
      </c>
    </row>
    <row r="52" spans="1:33" x14ac:dyDescent="0.25">
      <c r="A52" s="249"/>
      <c r="B52" s="191"/>
      <c r="C52" s="220" t="s">
        <v>135</v>
      </c>
      <c r="D52" s="298">
        <v>0</v>
      </c>
      <c r="E52" s="214" t="s">
        <v>218</v>
      </c>
      <c r="F52" s="214" t="s">
        <v>218</v>
      </c>
      <c r="G52" s="298">
        <v>0</v>
      </c>
      <c r="H52" s="298">
        <v>1</v>
      </c>
      <c r="I52" s="191">
        <v>1</v>
      </c>
      <c r="J52" s="191">
        <v>0</v>
      </c>
      <c r="K52" s="191">
        <v>0</v>
      </c>
      <c r="L52" s="191">
        <v>0</v>
      </c>
      <c r="M52" s="191">
        <v>1</v>
      </c>
      <c r="N52" s="191" t="s">
        <v>134</v>
      </c>
      <c r="O52" s="211" t="s">
        <v>212</v>
      </c>
      <c r="P52" s="191" t="s">
        <v>135</v>
      </c>
      <c r="Q52" s="191">
        <v>1</v>
      </c>
      <c r="R52" s="191">
        <v>0</v>
      </c>
      <c r="S52" s="191">
        <v>1</v>
      </c>
      <c r="T52" s="233" t="s">
        <v>218</v>
      </c>
      <c r="U52" s="230" t="s">
        <v>218</v>
      </c>
      <c r="V52" s="191">
        <v>1</v>
      </c>
      <c r="W52" s="191">
        <v>1</v>
      </c>
      <c r="X52" s="233" t="s">
        <v>218</v>
      </c>
      <c r="Y52" s="230" t="s">
        <v>218</v>
      </c>
      <c r="Z52" s="191">
        <v>0</v>
      </c>
      <c r="AA52" s="191" t="s">
        <v>134</v>
      </c>
      <c r="AB52" s="221" t="s">
        <v>130</v>
      </c>
      <c r="AC52" s="241"/>
      <c r="AE52" s="252"/>
      <c r="AG52" s="183" t="str">
        <f t="shared" si="1"/>
        <v xml:space="preserve">[0,x,x,0,1,1,0,0,0,1]-&gt;[1,0,1,x,x,1,1,x,x,0];   </v>
      </c>
    </row>
    <row r="53" spans="1:33" x14ac:dyDescent="0.25">
      <c r="A53" s="249"/>
      <c r="B53" s="191"/>
      <c r="C53" s="220" t="s">
        <v>135</v>
      </c>
      <c r="D53" s="298">
        <v>0</v>
      </c>
      <c r="E53" s="214" t="s">
        <v>218</v>
      </c>
      <c r="F53" s="214" t="s">
        <v>218</v>
      </c>
      <c r="G53" s="298">
        <v>0</v>
      </c>
      <c r="H53" s="298">
        <v>1</v>
      </c>
      <c r="I53" s="191">
        <v>1</v>
      </c>
      <c r="J53" s="191">
        <v>0</v>
      </c>
      <c r="K53" s="191">
        <v>0</v>
      </c>
      <c r="L53" s="191">
        <v>1</v>
      </c>
      <c r="M53" s="191">
        <v>0</v>
      </c>
      <c r="N53" s="191" t="s">
        <v>134</v>
      </c>
      <c r="O53" s="211" t="s">
        <v>212</v>
      </c>
      <c r="P53" s="191" t="s">
        <v>135</v>
      </c>
      <c r="Q53" s="191">
        <v>1</v>
      </c>
      <c r="R53" s="191">
        <v>1</v>
      </c>
      <c r="S53" s="191">
        <v>0</v>
      </c>
      <c r="T53" s="233" t="s">
        <v>218</v>
      </c>
      <c r="U53" s="230" t="s">
        <v>218</v>
      </c>
      <c r="V53" s="191">
        <v>1</v>
      </c>
      <c r="W53" s="191">
        <v>1</v>
      </c>
      <c r="X53" s="233" t="s">
        <v>218</v>
      </c>
      <c r="Y53" s="230" t="s">
        <v>218</v>
      </c>
      <c r="Z53" s="191">
        <v>0</v>
      </c>
      <c r="AA53" s="191" t="s">
        <v>134</v>
      </c>
      <c r="AB53" s="221" t="s">
        <v>130</v>
      </c>
      <c r="AC53" s="241"/>
      <c r="AE53" s="252" t="s">
        <v>181</v>
      </c>
      <c r="AG53" s="183" t="str">
        <f t="shared" si="1"/>
        <v xml:space="preserve">[0,x,x,0,1,1,0,0,1,0]-&gt;[1,1,0,x,x,1,1,x,x,0];   </v>
      </c>
    </row>
    <row r="54" spans="1:33" x14ac:dyDescent="0.25">
      <c r="A54" s="249"/>
      <c r="B54" s="191"/>
      <c r="C54" s="220" t="s">
        <v>135</v>
      </c>
      <c r="D54" s="298">
        <v>0</v>
      </c>
      <c r="E54" s="214" t="s">
        <v>218</v>
      </c>
      <c r="F54" s="214" t="s">
        <v>218</v>
      </c>
      <c r="G54" s="298">
        <v>0</v>
      </c>
      <c r="H54" s="298">
        <v>1</v>
      </c>
      <c r="I54" s="191">
        <v>1</v>
      </c>
      <c r="J54" s="191">
        <v>0</v>
      </c>
      <c r="K54" s="191">
        <v>0</v>
      </c>
      <c r="L54" s="191">
        <v>1</v>
      </c>
      <c r="M54" s="191">
        <v>1</v>
      </c>
      <c r="N54" s="191" t="s">
        <v>134</v>
      </c>
      <c r="O54" s="211" t="s">
        <v>212</v>
      </c>
      <c r="P54" s="191" t="s">
        <v>135</v>
      </c>
      <c r="Q54" s="191">
        <v>1</v>
      </c>
      <c r="R54" s="191">
        <v>1</v>
      </c>
      <c r="S54" s="191">
        <v>1</v>
      </c>
      <c r="T54" s="233" t="s">
        <v>218</v>
      </c>
      <c r="U54" s="230" t="s">
        <v>218</v>
      </c>
      <c r="V54" s="191">
        <v>1</v>
      </c>
      <c r="W54" s="191">
        <v>1</v>
      </c>
      <c r="X54" s="233" t="s">
        <v>218</v>
      </c>
      <c r="Y54" s="230" t="s">
        <v>218</v>
      </c>
      <c r="Z54" s="191">
        <v>0</v>
      </c>
      <c r="AA54" s="191" t="s">
        <v>134</v>
      </c>
      <c r="AB54" s="221" t="s">
        <v>130</v>
      </c>
      <c r="AC54" s="241"/>
      <c r="AE54" s="252"/>
      <c r="AG54" s="183" t="str">
        <f t="shared" si="1"/>
        <v xml:space="preserve">[0,x,x,0,1,1,0,0,1,1]-&gt;[1,1,1,x,x,1,1,x,x,0];   </v>
      </c>
    </row>
    <row r="55" spans="1:33" x14ac:dyDescent="0.25">
      <c r="A55" s="249"/>
      <c r="B55" s="191"/>
      <c r="C55" s="220" t="s">
        <v>135</v>
      </c>
      <c r="D55" s="298">
        <v>0</v>
      </c>
      <c r="E55" s="214" t="s">
        <v>218</v>
      </c>
      <c r="F55" s="214" t="s">
        <v>218</v>
      </c>
      <c r="G55" s="298">
        <v>0</v>
      </c>
      <c r="H55" s="298">
        <v>1</v>
      </c>
      <c r="I55" s="191">
        <v>1</v>
      </c>
      <c r="J55" s="191">
        <v>0</v>
      </c>
      <c r="K55" s="191">
        <v>1</v>
      </c>
      <c r="L55" s="191">
        <v>0</v>
      </c>
      <c r="M55" s="191">
        <v>0</v>
      </c>
      <c r="N55" s="191" t="s">
        <v>134</v>
      </c>
      <c r="O55" s="211" t="s">
        <v>212</v>
      </c>
      <c r="P55" s="191" t="s">
        <v>135</v>
      </c>
      <c r="Q55" s="191">
        <v>0</v>
      </c>
      <c r="R55" s="191">
        <v>1</v>
      </c>
      <c r="S55" s="191">
        <v>0</v>
      </c>
      <c r="T55" s="233" t="s">
        <v>218</v>
      </c>
      <c r="U55" s="230" t="s">
        <v>218</v>
      </c>
      <c r="V55" s="191">
        <v>1</v>
      </c>
      <c r="W55" s="191">
        <v>1</v>
      </c>
      <c r="X55" s="233" t="s">
        <v>218</v>
      </c>
      <c r="Y55" s="230" t="s">
        <v>218</v>
      </c>
      <c r="Z55" s="191">
        <v>0</v>
      </c>
      <c r="AA55" s="191" t="s">
        <v>134</v>
      </c>
      <c r="AB55" s="221" t="s">
        <v>130</v>
      </c>
      <c r="AC55" s="241"/>
      <c r="AE55" s="252" t="s">
        <v>178</v>
      </c>
      <c r="AG55" s="183" t="str">
        <f t="shared" si="1"/>
        <v xml:space="preserve">[0,x,x,0,1,1,0,1,0,0]-&gt;[0,1,0,x,x,1,1,x,x,0];   </v>
      </c>
    </row>
    <row r="56" spans="1:33" x14ac:dyDescent="0.25">
      <c r="A56" s="249"/>
      <c r="B56" s="191"/>
      <c r="C56" s="220" t="s">
        <v>135</v>
      </c>
      <c r="D56" s="298">
        <v>0</v>
      </c>
      <c r="E56" s="214" t="s">
        <v>218</v>
      </c>
      <c r="F56" s="214" t="s">
        <v>218</v>
      </c>
      <c r="G56" s="298">
        <v>0</v>
      </c>
      <c r="H56" s="298">
        <v>1</v>
      </c>
      <c r="I56" s="191">
        <v>1</v>
      </c>
      <c r="J56" s="191">
        <v>0</v>
      </c>
      <c r="K56" s="191">
        <v>1</v>
      </c>
      <c r="L56" s="191">
        <v>0</v>
      </c>
      <c r="M56" s="191">
        <v>1</v>
      </c>
      <c r="N56" s="191" t="s">
        <v>134</v>
      </c>
      <c r="O56" s="211" t="s">
        <v>212</v>
      </c>
      <c r="P56" s="191" t="s">
        <v>135</v>
      </c>
      <c r="Q56" s="191">
        <v>0</v>
      </c>
      <c r="R56" s="191">
        <v>0</v>
      </c>
      <c r="S56" s="191">
        <v>1</v>
      </c>
      <c r="T56" s="233" t="s">
        <v>218</v>
      </c>
      <c r="U56" s="230" t="s">
        <v>218</v>
      </c>
      <c r="V56" s="191">
        <v>1</v>
      </c>
      <c r="W56" s="191">
        <v>1</v>
      </c>
      <c r="X56" s="233" t="s">
        <v>218</v>
      </c>
      <c r="Y56" s="230" t="s">
        <v>218</v>
      </c>
      <c r="Z56" s="191">
        <v>0</v>
      </c>
      <c r="AA56" s="191" t="s">
        <v>134</v>
      </c>
      <c r="AB56" s="221" t="s">
        <v>130</v>
      </c>
      <c r="AC56" s="241"/>
      <c r="AE56" s="252"/>
      <c r="AG56" s="183" t="str">
        <f t="shared" si="1"/>
        <v xml:space="preserve">[0,x,x,0,1,1,0,1,0,1]-&gt;[0,0,1,x,x,1,1,x,x,0];   </v>
      </c>
    </row>
    <row r="57" spans="1:33" x14ac:dyDescent="0.25">
      <c r="A57" s="249"/>
      <c r="B57" s="191"/>
      <c r="C57" s="220" t="s">
        <v>135</v>
      </c>
      <c r="D57" s="298">
        <v>0</v>
      </c>
      <c r="E57" s="214" t="s">
        <v>218</v>
      </c>
      <c r="F57" s="214" t="s">
        <v>218</v>
      </c>
      <c r="G57" s="298">
        <v>0</v>
      </c>
      <c r="H57" s="298">
        <v>1</v>
      </c>
      <c r="I57" s="191">
        <v>1</v>
      </c>
      <c r="J57" s="191">
        <v>0</v>
      </c>
      <c r="K57" s="191">
        <v>1</v>
      </c>
      <c r="L57" s="191">
        <v>1</v>
      </c>
      <c r="M57" s="191">
        <v>0</v>
      </c>
      <c r="N57" s="191" t="s">
        <v>134</v>
      </c>
      <c r="O57" s="211" t="s">
        <v>212</v>
      </c>
      <c r="P57" s="191" t="s">
        <v>135</v>
      </c>
      <c r="Q57" s="191">
        <v>0</v>
      </c>
      <c r="R57" s="191">
        <v>1</v>
      </c>
      <c r="S57" s="191">
        <v>0</v>
      </c>
      <c r="T57" s="233" t="s">
        <v>218</v>
      </c>
      <c r="U57" s="230" t="s">
        <v>218</v>
      </c>
      <c r="V57" s="191">
        <v>1</v>
      </c>
      <c r="W57" s="191">
        <v>1</v>
      </c>
      <c r="X57" s="233" t="s">
        <v>218</v>
      </c>
      <c r="Y57" s="230" t="s">
        <v>218</v>
      </c>
      <c r="Z57" s="191">
        <v>0</v>
      </c>
      <c r="AA57" s="191" t="s">
        <v>134</v>
      </c>
      <c r="AB57" s="221" t="s">
        <v>130</v>
      </c>
      <c r="AC57" s="241"/>
      <c r="AE57" s="252" t="s">
        <v>176</v>
      </c>
      <c r="AG57" s="183" t="str">
        <f t="shared" si="1"/>
        <v xml:space="preserve">[0,x,x,0,1,1,0,1,1,0]-&gt;[0,1,0,x,x,1,1,x,x,0];   </v>
      </c>
    </row>
    <row r="58" spans="1:33" ht="15.75" thickBot="1" x14ac:dyDescent="0.3">
      <c r="A58" s="249"/>
      <c r="B58" s="191"/>
      <c r="C58" s="220" t="s">
        <v>135</v>
      </c>
      <c r="D58" s="298">
        <v>0</v>
      </c>
      <c r="E58" s="214" t="s">
        <v>218</v>
      </c>
      <c r="F58" s="214" t="s">
        <v>218</v>
      </c>
      <c r="G58" s="298">
        <v>0</v>
      </c>
      <c r="H58" s="298">
        <v>1</v>
      </c>
      <c r="I58" s="191">
        <v>1</v>
      </c>
      <c r="J58" s="191">
        <v>0</v>
      </c>
      <c r="K58" s="191">
        <v>1</v>
      </c>
      <c r="L58" s="191">
        <v>1</v>
      </c>
      <c r="M58" s="191">
        <v>1</v>
      </c>
      <c r="N58" s="191" t="s">
        <v>134</v>
      </c>
      <c r="O58" s="211" t="s">
        <v>212</v>
      </c>
      <c r="P58" s="191" t="s">
        <v>135</v>
      </c>
      <c r="Q58" s="191">
        <v>0</v>
      </c>
      <c r="R58" s="191">
        <v>0</v>
      </c>
      <c r="S58" s="191">
        <v>1</v>
      </c>
      <c r="T58" s="233" t="s">
        <v>218</v>
      </c>
      <c r="U58" s="230" t="s">
        <v>218</v>
      </c>
      <c r="V58" s="191">
        <v>1</v>
      </c>
      <c r="W58" s="191">
        <v>1</v>
      </c>
      <c r="X58" s="233" t="s">
        <v>218</v>
      </c>
      <c r="Y58" s="230" t="s">
        <v>218</v>
      </c>
      <c r="Z58" s="191">
        <v>0</v>
      </c>
      <c r="AA58" s="191" t="s">
        <v>134</v>
      </c>
      <c r="AB58" s="221" t="s">
        <v>130</v>
      </c>
      <c r="AC58" s="241"/>
      <c r="AE58" s="252"/>
      <c r="AG58" s="183" t="str">
        <f t="shared" si="1"/>
        <v xml:space="preserve">[0,x,x,0,1,1,0,1,1,1]-&gt;[0,0,1,x,x,1,1,x,x,0];   </v>
      </c>
    </row>
    <row r="59" spans="1:33" x14ac:dyDescent="0.25">
      <c r="A59" s="249"/>
      <c r="B59" s="191"/>
      <c r="C59" s="220" t="s">
        <v>135</v>
      </c>
      <c r="D59" s="298">
        <v>0</v>
      </c>
      <c r="E59" s="246">
        <v>1</v>
      </c>
      <c r="F59" s="214" t="s">
        <v>218</v>
      </c>
      <c r="G59" s="298">
        <v>0</v>
      </c>
      <c r="H59" s="298">
        <v>1</v>
      </c>
      <c r="I59" s="235">
        <v>1</v>
      </c>
      <c r="J59" s="226">
        <v>1</v>
      </c>
      <c r="K59" s="236">
        <v>0</v>
      </c>
      <c r="L59" s="191">
        <v>0</v>
      </c>
      <c r="M59" s="191">
        <v>0</v>
      </c>
      <c r="N59" s="191" t="s">
        <v>134</v>
      </c>
      <c r="O59" s="211" t="s">
        <v>212</v>
      </c>
      <c r="P59" s="191" t="s">
        <v>135</v>
      </c>
      <c r="Q59" s="287">
        <v>0</v>
      </c>
      <c r="R59" s="288">
        <v>1</v>
      </c>
      <c r="S59" s="289">
        <v>0</v>
      </c>
      <c r="T59" s="287">
        <v>0</v>
      </c>
      <c r="U59" s="289">
        <v>0</v>
      </c>
      <c r="V59" s="297">
        <v>0</v>
      </c>
      <c r="W59" s="191">
        <v>1</v>
      </c>
      <c r="X59" s="233" t="s">
        <v>218</v>
      </c>
      <c r="Y59" s="230" t="s">
        <v>218</v>
      </c>
      <c r="Z59" s="191">
        <v>0</v>
      </c>
      <c r="AA59" s="191" t="s">
        <v>134</v>
      </c>
      <c r="AB59" s="221" t="s">
        <v>130</v>
      </c>
      <c r="AC59" s="241" t="s">
        <v>216</v>
      </c>
      <c r="AD59" s="295" t="s">
        <v>277</v>
      </c>
      <c r="AE59" s="252" t="s">
        <v>172</v>
      </c>
      <c r="AG59" s="183" t="str">
        <f t="shared" si="1"/>
        <v>[0,1,x,0,1,1,1,0,0,0]-&gt;[0,1,0,0,0,0,1,x,x,0];   "Low-Rom auf ProfDos</v>
      </c>
    </row>
    <row r="60" spans="1:33" x14ac:dyDescent="0.25">
      <c r="A60" s="249"/>
      <c r="B60" s="191"/>
      <c r="C60" s="220" t="s">
        <v>135</v>
      </c>
      <c r="D60" s="298">
        <v>0</v>
      </c>
      <c r="E60" s="246">
        <v>1</v>
      </c>
      <c r="F60" s="214" t="s">
        <v>218</v>
      </c>
      <c r="G60" s="298">
        <v>0</v>
      </c>
      <c r="H60" s="298">
        <v>1</v>
      </c>
      <c r="I60" s="237">
        <v>1</v>
      </c>
      <c r="J60" s="213">
        <v>1</v>
      </c>
      <c r="K60" s="238">
        <v>0</v>
      </c>
      <c r="L60" s="191">
        <v>0</v>
      </c>
      <c r="M60" s="191">
        <v>1</v>
      </c>
      <c r="N60" s="191" t="s">
        <v>134</v>
      </c>
      <c r="O60" s="211" t="s">
        <v>212</v>
      </c>
      <c r="P60" s="191" t="s">
        <v>135</v>
      </c>
      <c r="Q60" s="290">
        <v>0</v>
      </c>
      <c r="R60" s="284">
        <v>1</v>
      </c>
      <c r="S60" s="291">
        <v>0</v>
      </c>
      <c r="T60" s="290">
        <v>0</v>
      </c>
      <c r="U60" s="291">
        <v>0</v>
      </c>
      <c r="V60" s="298">
        <v>0</v>
      </c>
      <c r="W60" s="191">
        <v>1</v>
      </c>
      <c r="X60" s="233" t="s">
        <v>218</v>
      </c>
      <c r="Y60" s="230" t="s">
        <v>218</v>
      </c>
      <c r="Z60" s="191">
        <v>0</v>
      </c>
      <c r="AA60" s="191" t="s">
        <v>134</v>
      </c>
      <c r="AB60" s="221" t="s">
        <v>130</v>
      </c>
      <c r="AD60" s="252"/>
      <c r="AE60" s="252"/>
      <c r="AG60" s="183" t="str">
        <f t="shared" si="1"/>
        <v xml:space="preserve">[0,1,x,0,1,1,1,0,0,1]-&gt;[0,1,0,0,0,0,1,x,x,0];   </v>
      </c>
    </row>
    <row r="61" spans="1:33" x14ac:dyDescent="0.25">
      <c r="A61" s="249"/>
      <c r="B61" s="191"/>
      <c r="C61" s="220" t="s">
        <v>135</v>
      </c>
      <c r="D61" s="298">
        <v>0</v>
      </c>
      <c r="E61" s="246">
        <v>1</v>
      </c>
      <c r="F61" s="214" t="s">
        <v>218</v>
      </c>
      <c r="G61" s="298">
        <v>0</v>
      </c>
      <c r="H61" s="298">
        <v>1</v>
      </c>
      <c r="I61" s="237">
        <v>1</v>
      </c>
      <c r="J61" s="213">
        <v>1</v>
      </c>
      <c r="K61" s="238">
        <v>0</v>
      </c>
      <c r="L61" s="191">
        <v>1</v>
      </c>
      <c r="M61" s="191">
        <v>0</v>
      </c>
      <c r="N61" s="191" t="s">
        <v>134</v>
      </c>
      <c r="O61" s="211" t="s">
        <v>212</v>
      </c>
      <c r="P61" s="191" t="s">
        <v>135</v>
      </c>
      <c r="Q61" s="290">
        <v>0</v>
      </c>
      <c r="R61" s="284">
        <v>1</v>
      </c>
      <c r="S61" s="291">
        <v>0</v>
      </c>
      <c r="T61" s="290">
        <v>0</v>
      </c>
      <c r="U61" s="291">
        <v>0</v>
      </c>
      <c r="V61" s="298">
        <v>0</v>
      </c>
      <c r="W61" s="191">
        <v>1</v>
      </c>
      <c r="X61" s="233" t="s">
        <v>218</v>
      </c>
      <c r="Y61" s="230" t="s">
        <v>218</v>
      </c>
      <c r="Z61" s="191">
        <v>0</v>
      </c>
      <c r="AA61" s="191" t="s">
        <v>134</v>
      </c>
      <c r="AB61" s="221" t="s">
        <v>130</v>
      </c>
      <c r="AC61" s="241"/>
      <c r="AD61" s="252"/>
      <c r="AE61" s="252" t="s">
        <v>170</v>
      </c>
      <c r="AG61" s="183" t="str">
        <f t="shared" si="1"/>
        <v xml:space="preserve">[0,1,x,0,1,1,1,0,1,0]-&gt;[0,1,0,0,0,0,1,x,x,0];   </v>
      </c>
    </row>
    <row r="62" spans="1:33" ht="15.75" thickBot="1" x14ac:dyDescent="0.3">
      <c r="A62" s="249"/>
      <c r="B62" s="191"/>
      <c r="C62" s="220" t="s">
        <v>135</v>
      </c>
      <c r="D62" s="298">
        <v>0</v>
      </c>
      <c r="E62" s="246">
        <v>1</v>
      </c>
      <c r="F62" s="214" t="s">
        <v>218</v>
      </c>
      <c r="G62" s="298">
        <v>0</v>
      </c>
      <c r="H62" s="298">
        <v>1</v>
      </c>
      <c r="I62" s="239">
        <v>1</v>
      </c>
      <c r="J62" s="227">
        <v>1</v>
      </c>
      <c r="K62" s="240">
        <v>0</v>
      </c>
      <c r="L62" s="191">
        <v>1</v>
      </c>
      <c r="M62" s="191">
        <v>1</v>
      </c>
      <c r="N62" s="191" t="s">
        <v>134</v>
      </c>
      <c r="O62" s="211" t="s">
        <v>212</v>
      </c>
      <c r="P62" s="191" t="s">
        <v>135</v>
      </c>
      <c r="Q62" s="292">
        <v>0</v>
      </c>
      <c r="R62" s="285">
        <v>1</v>
      </c>
      <c r="S62" s="293">
        <v>0</v>
      </c>
      <c r="T62" s="292">
        <v>0</v>
      </c>
      <c r="U62" s="293">
        <v>0</v>
      </c>
      <c r="V62" s="299">
        <v>0</v>
      </c>
      <c r="W62" s="191">
        <v>1</v>
      </c>
      <c r="X62" s="233" t="s">
        <v>218</v>
      </c>
      <c r="Y62" s="230" t="s">
        <v>218</v>
      </c>
      <c r="Z62" s="191">
        <v>0</v>
      </c>
      <c r="AA62" s="191" t="s">
        <v>134</v>
      </c>
      <c r="AB62" s="221" t="s">
        <v>130</v>
      </c>
      <c r="AC62" s="241"/>
      <c r="AD62" s="253"/>
      <c r="AE62" s="252"/>
      <c r="AG62" s="183" t="str">
        <f t="shared" si="1"/>
        <v xml:space="preserve">[0,1,x,0,1,1,1,0,1,1]-&gt;[0,1,0,0,0,0,1,x,x,0];   </v>
      </c>
    </row>
    <row r="63" spans="1:33" x14ac:dyDescent="0.25">
      <c r="A63" s="249"/>
      <c r="B63" s="191"/>
      <c r="C63" s="220" t="s">
        <v>135</v>
      </c>
      <c r="D63" s="298">
        <v>0</v>
      </c>
      <c r="E63" s="214" t="s">
        <v>218</v>
      </c>
      <c r="F63" s="214" t="s">
        <v>218</v>
      </c>
      <c r="G63" s="298">
        <v>0</v>
      </c>
      <c r="H63" s="298">
        <v>1</v>
      </c>
      <c r="I63" s="216">
        <v>1</v>
      </c>
      <c r="J63" s="217">
        <v>1</v>
      </c>
      <c r="K63" s="219">
        <v>1</v>
      </c>
      <c r="L63" s="191">
        <v>0</v>
      </c>
      <c r="M63" s="191">
        <v>0</v>
      </c>
      <c r="N63" s="191" t="s">
        <v>134</v>
      </c>
      <c r="O63" s="211" t="s">
        <v>212</v>
      </c>
      <c r="P63" s="191" t="s">
        <v>135</v>
      </c>
      <c r="Q63" s="260">
        <v>0</v>
      </c>
      <c r="R63" s="261">
        <v>1</v>
      </c>
      <c r="S63" s="262">
        <v>0</v>
      </c>
      <c r="T63" s="260">
        <v>1</v>
      </c>
      <c r="U63" s="262">
        <v>1</v>
      </c>
      <c r="V63" s="309">
        <v>0</v>
      </c>
      <c r="W63" s="191">
        <v>1</v>
      </c>
      <c r="X63" s="260">
        <v>0</v>
      </c>
      <c r="Y63" s="262">
        <v>0</v>
      </c>
      <c r="Z63" s="191">
        <v>0</v>
      </c>
      <c r="AA63" s="191" t="s">
        <v>134</v>
      </c>
      <c r="AB63" s="221" t="s">
        <v>130</v>
      </c>
      <c r="AC63" s="242" t="s">
        <v>216</v>
      </c>
      <c r="AD63" s="308" t="s">
        <v>214</v>
      </c>
      <c r="AE63" s="252" t="s">
        <v>168</v>
      </c>
      <c r="AG63" s="183" t="str">
        <f t="shared" si="1"/>
        <v>[0,x,x,0,1,1,1,1,0,0]-&gt;[0,1,0,1,1,0,1,0,0,0];   "High-Rom ProfDos</v>
      </c>
    </row>
    <row r="64" spans="1:33" x14ac:dyDescent="0.25">
      <c r="A64" s="249"/>
      <c r="B64" s="191"/>
      <c r="C64" s="220" t="s">
        <v>135</v>
      </c>
      <c r="D64" s="298">
        <v>0</v>
      </c>
      <c r="E64" s="214" t="s">
        <v>218</v>
      </c>
      <c r="F64" s="214" t="s">
        <v>218</v>
      </c>
      <c r="G64" s="298">
        <v>0</v>
      </c>
      <c r="H64" s="298">
        <v>1</v>
      </c>
      <c r="I64" s="220">
        <v>1</v>
      </c>
      <c r="J64" s="191">
        <v>1</v>
      </c>
      <c r="K64" s="221">
        <v>1</v>
      </c>
      <c r="L64" s="191">
        <v>0</v>
      </c>
      <c r="M64" s="191">
        <v>1</v>
      </c>
      <c r="N64" s="191" t="s">
        <v>134</v>
      </c>
      <c r="O64" s="211" t="s">
        <v>212</v>
      </c>
      <c r="P64" s="191" t="s">
        <v>135</v>
      </c>
      <c r="Q64" s="260">
        <v>0</v>
      </c>
      <c r="R64" s="261">
        <v>1</v>
      </c>
      <c r="S64" s="262">
        <v>0</v>
      </c>
      <c r="T64" s="260">
        <v>1</v>
      </c>
      <c r="U64" s="262">
        <v>1</v>
      </c>
      <c r="V64" s="309">
        <v>0</v>
      </c>
      <c r="W64" s="191">
        <v>1</v>
      </c>
      <c r="X64" s="260">
        <v>0</v>
      </c>
      <c r="Y64" s="262">
        <v>0</v>
      </c>
      <c r="Z64" s="191">
        <v>0</v>
      </c>
      <c r="AA64" s="191" t="s">
        <v>134</v>
      </c>
      <c r="AB64" s="221" t="s">
        <v>130</v>
      </c>
      <c r="AD64" s="294"/>
      <c r="AE64" s="252"/>
      <c r="AG64" s="183" t="str">
        <f t="shared" si="1"/>
        <v xml:space="preserve">[0,x,x,0,1,1,1,1,0,1]-&gt;[0,1,0,1,1,0,1,0,0,0];   </v>
      </c>
    </row>
    <row r="65" spans="1:33" x14ac:dyDescent="0.25">
      <c r="A65" s="249"/>
      <c r="B65" s="191"/>
      <c r="C65" s="220" t="s">
        <v>135</v>
      </c>
      <c r="D65" s="298">
        <v>0</v>
      </c>
      <c r="E65" s="214" t="s">
        <v>218</v>
      </c>
      <c r="F65" s="214" t="s">
        <v>218</v>
      </c>
      <c r="G65" s="298">
        <v>0</v>
      </c>
      <c r="H65" s="298">
        <v>1</v>
      </c>
      <c r="I65" s="220">
        <v>1</v>
      </c>
      <c r="J65" s="191">
        <v>1</v>
      </c>
      <c r="K65" s="221">
        <v>1</v>
      </c>
      <c r="L65" s="191">
        <v>1</v>
      </c>
      <c r="M65" s="191">
        <v>0</v>
      </c>
      <c r="N65" s="191" t="s">
        <v>134</v>
      </c>
      <c r="O65" s="211" t="s">
        <v>212</v>
      </c>
      <c r="P65" s="191" t="s">
        <v>135</v>
      </c>
      <c r="Q65" s="260">
        <v>0</v>
      </c>
      <c r="R65" s="261">
        <v>1</v>
      </c>
      <c r="S65" s="262">
        <v>0</v>
      </c>
      <c r="T65" s="260">
        <v>1</v>
      </c>
      <c r="U65" s="262">
        <v>1</v>
      </c>
      <c r="V65" s="309">
        <v>0</v>
      </c>
      <c r="W65" s="191">
        <v>1</v>
      </c>
      <c r="X65" s="260">
        <v>0</v>
      </c>
      <c r="Y65" s="262">
        <v>0</v>
      </c>
      <c r="Z65" s="191">
        <v>0</v>
      </c>
      <c r="AA65" s="191" t="s">
        <v>134</v>
      </c>
      <c r="AB65" s="221" t="s">
        <v>130</v>
      </c>
      <c r="AC65" s="241"/>
      <c r="AD65" s="294"/>
      <c r="AE65" s="252" t="s">
        <v>166</v>
      </c>
      <c r="AG65" s="183" t="str">
        <f t="shared" si="1"/>
        <v xml:space="preserve">[0,x,x,0,1,1,1,1,1,0]-&gt;[0,1,0,1,1,0,1,0,0,0];   </v>
      </c>
    </row>
    <row r="66" spans="1:33" ht="15.75" thickBot="1" x14ac:dyDescent="0.3">
      <c r="A66" s="249"/>
      <c r="B66" s="191"/>
      <c r="C66" s="222" t="s">
        <v>135</v>
      </c>
      <c r="D66" s="299">
        <v>0</v>
      </c>
      <c r="E66" s="229" t="s">
        <v>218</v>
      </c>
      <c r="F66" s="229" t="s">
        <v>218</v>
      </c>
      <c r="G66" s="299">
        <v>0</v>
      </c>
      <c r="H66" s="299">
        <v>1</v>
      </c>
      <c r="I66" s="222">
        <v>1</v>
      </c>
      <c r="J66" s="223">
        <v>1</v>
      </c>
      <c r="K66" s="225">
        <v>1</v>
      </c>
      <c r="L66" s="223">
        <v>1</v>
      </c>
      <c r="M66" s="223">
        <v>1</v>
      </c>
      <c r="N66" s="223" t="s">
        <v>134</v>
      </c>
      <c r="O66" s="224" t="s">
        <v>212</v>
      </c>
      <c r="P66" s="223" t="s">
        <v>135</v>
      </c>
      <c r="Q66" s="263">
        <v>0</v>
      </c>
      <c r="R66" s="264">
        <v>1</v>
      </c>
      <c r="S66" s="265">
        <v>0</v>
      </c>
      <c r="T66" s="263">
        <v>1</v>
      </c>
      <c r="U66" s="265">
        <v>1</v>
      </c>
      <c r="V66" s="310">
        <v>0</v>
      </c>
      <c r="W66" s="191">
        <v>1</v>
      </c>
      <c r="X66" s="263">
        <v>0</v>
      </c>
      <c r="Y66" s="265">
        <v>0</v>
      </c>
      <c r="Z66" s="223">
        <v>0</v>
      </c>
      <c r="AA66" s="223" t="s">
        <v>134</v>
      </c>
      <c r="AB66" s="225" t="s">
        <v>130</v>
      </c>
      <c r="AC66" s="241"/>
      <c r="AD66" s="267"/>
      <c r="AE66" s="253"/>
      <c r="AG66" s="183" t="str">
        <f t="shared" si="1"/>
        <v xml:space="preserve">[0,x,x,0,1,1,1,1,1,1]-&gt;[0,1,0,1,1,0,1,0,0,0];   </v>
      </c>
    </row>
    <row r="67" spans="1:33" ht="15.75" thickBot="1" x14ac:dyDescent="0.3">
      <c r="A67" s="249"/>
      <c r="B67" s="191"/>
      <c r="C67" s="216" t="s">
        <v>135</v>
      </c>
      <c r="D67" s="299">
        <v>0</v>
      </c>
      <c r="E67" s="232" t="s">
        <v>218</v>
      </c>
      <c r="F67" s="228" t="s">
        <v>218</v>
      </c>
      <c r="G67" s="297">
        <v>1</v>
      </c>
      <c r="H67" s="297">
        <v>0</v>
      </c>
      <c r="I67" s="217">
        <v>0</v>
      </c>
      <c r="J67" s="217">
        <v>0</v>
      </c>
      <c r="K67" s="217">
        <v>0</v>
      </c>
      <c r="L67" s="217">
        <v>0</v>
      </c>
      <c r="M67" s="217">
        <v>0</v>
      </c>
      <c r="N67" s="217" t="s">
        <v>134</v>
      </c>
      <c r="O67" s="218" t="s">
        <v>212</v>
      </c>
      <c r="P67" s="217" t="s">
        <v>135</v>
      </c>
      <c r="Q67" s="217">
        <v>0</v>
      </c>
      <c r="R67" s="217">
        <v>0</v>
      </c>
      <c r="S67" s="217">
        <v>0</v>
      </c>
      <c r="T67" s="233" t="s">
        <v>218</v>
      </c>
      <c r="U67" s="230" t="s">
        <v>218</v>
      </c>
      <c r="V67" s="217">
        <v>1</v>
      </c>
      <c r="W67" s="191">
        <v>1</v>
      </c>
      <c r="X67" s="233" t="s">
        <v>218</v>
      </c>
      <c r="Y67" s="230" t="s">
        <v>218</v>
      </c>
      <c r="Z67" s="217">
        <v>0</v>
      </c>
      <c r="AA67" s="217" t="s">
        <v>134</v>
      </c>
      <c r="AB67" s="219" t="s">
        <v>130</v>
      </c>
      <c r="AC67" s="242" t="s">
        <v>216</v>
      </c>
      <c r="AD67" s="259" t="s">
        <v>268</v>
      </c>
      <c r="AE67" s="241" t="s">
        <v>208</v>
      </c>
      <c r="AG67" s="183" t="str">
        <f t="shared" si="1"/>
        <v>[0,x,x,1,0,0,0,0,0,0]-&gt;[0,0,0,x,x,1,1,x,x,0];   "ProfDos aus, RAM onboard, LoRom org, HiRom org</v>
      </c>
    </row>
    <row r="68" spans="1:33" x14ac:dyDescent="0.25">
      <c r="A68" s="249"/>
      <c r="B68" s="191"/>
      <c r="C68" s="220" t="s">
        <v>135</v>
      </c>
      <c r="D68" s="214" t="s">
        <v>218</v>
      </c>
      <c r="E68" s="233" t="s">
        <v>218</v>
      </c>
      <c r="F68" s="214" t="s">
        <v>218</v>
      </c>
      <c r="G68" s="230" t="s">
        <v>218</v>
      </c>
      <c r="H68" s="233" t="s">
        <v>218</v>
      </c>
      <c r="I68" s="191">
        <v>0</v>
      </c>
      <c r="J68" s="191">
        <v>0</v>
      </c>
      <c r="K68" s="191">
        <v>0</v>
      </c>
      <c r="L68" s="191">
        <v>0</v>
      </c>
      <c r="M68" s="191">
        <v>1</v>
      </c>
      <c r="N68" s="191" t="s">
        <v>134</v>
      </c>
      <c r="O68" s="211" t="s">
        <v>212</v>
      </c>
      <c r="P68" s="191" t="s">
        <v>135</v>
      </c>
      <c r="Q68" s="191">
        <v>0</v>
      </c>
      <c r="R68" s="191">
        <v>0</v>
      </c>
      <c r="S68" s="191">
        <v>1</v>
      </c>
      <c r="T68" s="233" t="s">
        <v>218</v>
      </c>
      <c r="U68" s="230" t="s">
        <v>218</v>
      </c>
      <c r="V68" s="191">
        <v>1</v>
      </c>
      <c r="W68" s="191">
        <v>1</v>
      </c>
      <c r="X68" s="233" t="s">
        <v>218</v>
      </c>
      <c r="Y68" s="230" t="s">
        <v>218</v>
      </c>
      <c r="Z68" s="191">
        <v>0</v>
      </c>
      <c r="AA68" s="191" t="s">
        <v>134</v>
      </c>
      <c r="AB68" s="221" t="s">
        <v>130</v>
      </c>
      <c r="AC68" s="242" t="s">
        <v>216</v>
      </c>
      <c r="AD68" s="284" t="s">
        <v>275</v>
      </c>
      <c r="AG68" s="183" t="str">
        <f t="shared" ref="AG68:AG98" si="2">C68&amp;D68&amp;","&amp;E68&amp;","&amp;F68&amp;","&amp;G68&amp;","&amp;H68&amp;","&amp;I68&amp;","&amp;J68&amp;","&amp;K68&amp;","&amp;L68&amp;","&amp;M68&amp;N68&amp;O68&amp;P68&amp;Q68&amp;","&amp;R68&amp;","&amp;S68&amp;","&amp;T68&amp;","&amp;U68&amp;","&amp;V68&amp;","&amp;W68&amp;","&amp;X68&amp;","&amp;Y68&amp;","&amp;Z68&amp;AA68&amp;AB68&amp;"   "&amp;AC68&amp;AD68</f>
        <v>[x,x,x,x,x,0,0,0,0,1]-&gt;[0,0,1,x,x,1,1,x,x,0];   "Original</v>
      </c>
    </row>
    <row r="69" spans="1:33" x14ac:dyDescent="0.25">
      <c r="A69" s="249"/>
      <c r="B69" s="191"/>
      <c r="C69" s="220" t="s">
        <v>135</v>
      </c>
      <c r="D69" s="214" t="s">
        <v>218</v>
      </c>
      <c r="E69" s="233" t="s">
        <v>218</v>
      </c>
      <c r="F69" s="214" t="s">
        <v>218</v>
      </c>
      <c r="G69" s="230" t="s">
        <v>218</v>
      </c>
      <c r="H69" s="233" t="s">
        <v>218</v>
      </c>
      <c r="I69" s="191">
        <v>0</v>
      </c>
      <c r="J69" s="191">
        <v>0</v>
      </c>
      <c r="K69" s="191">
        <v>0</v>
      </c>
      <c r="L69" s="191">
        <v>1</v>
      </c>
      <c r="M69" s="191">
        <v>0</v>
      </c>
      <c r="N69" s="191" t="s">
        <v>134</v>
      </c>
      <c r="O69" s="211" t="s">
        <v>212</v>
      </c>
      <c r="P69" s="191" t="s">
        <v>135</v>
      </c>
      <c r="Q69" s="191">
        <v>0</v>
      </c>
      <c r="R69" s="191">
        <v>1</v>
      </c>
      <c r="S69" s="191">
        <v>0</v>
      </c>
      <c r="T69" s="233" t="s">
        <v>218</v>
      </c>
      <c r="U69" s="230" t="s">
        <v>218</v>
      </c>
      <c r="V69" s="191">
        <v>1</v>
      </c>
      <c r="W69" s="191">
        <v>1</v>
      </c>
      <c r="X69" s="233" t="s">
        <v>218</v>
      </c>
      <c r="Y69" s="230" t="s">
        <v>218</v>
      </c>
      <c r="Z69" s="191">
        <v>0</v>
      </c>
      <c r="AA69" s="191" t="s">
        <v>134</v>
      </c>
      <c r="AB69" s="221" t="s">
        <v>130</v>
      </c>
      <c r="AC69" s="241"/>
      <c r="AE69" s="183" t="s">
        <v>206</v>
      </c>
      <c r="AG69" s="183" t="str">
        <f t="shared" si="2"/>
        <v xml:space="preserve">[x,x,x,x,x,0,0,0,1,0]-&gt;[0,1,0,x,x,1,1,x,x,0];   </v>
      </c>
    </row>
    <row r="70" spans="1:33" x14ac:dyDescent="0.25">
      <c r="A70" s="249"/>
      <c r="B70" s="191"/>
      <c r="C70" s="220" t="s">
        <v>135</v>
      </c>
      <c r="D70" s="214" t="s">
        <v>218</v>
      </c>
      <c r="E70" s="233" t="s">
        <v>218</v>
      </c>
      <c r="F70" s="214" t="s">
        <v>218</v>
      </c>
      <c r="G70" s="230" t="s">
        <v>218</v>
      </c>
      <c r="H70" s="233" t="s">
        <v>218</v>
      </c>
      <c r="I70" s="191">
        <v>0</v>
      </c>
      <c r="J70" s="191">
        <v>0</v>
      </c>
      <c r="K70" s="191">
        <v>0</v>
      </c>
      <c r="L70" s="191">
        <v>1</v>
      </c>
      <c r="M70" s="191">
        <v>1</v>
      </c>
      <c r="N70" s="191" t="s">
        <v>134</v>
      </c>
      <c r="O70" s="211" t="s">
        <v>212</v>
      </c>
      <c r="P70" s="191" t="s">
        <v>135</v>
      </c>
      <c r="Q70" s="191">
        <v>0</v>
      </c>
      <c r="R70" s="191">
        <v>1</v>
      </c>
      <c r="S70" s="191">
        <v>1</v>
      </c>
      <c r="T70" s="233" t="s">
        <v>218</v>
      </c>
      <c r="U70" s="230" t="s">
        <v>218</v>
      </c>
      <c r="V70" s="191">
        <v>1</v>
      </c>
      <c r="W70" s="191">
        <v>1</v>
      </c>
      <c r="X70" s="233" t="s">
        <v>218</v>
      </c>
      <c r="Y70" s="230" t="s">
        <v>218</v>
      </c>
      <c r="Z70" s="191">
        <v>0</v>
      </c>
      <c r="AA70" s="191" t="s">
        <v>134</v>
      </c>
      <c r="AB70" s="221" t="s">
        <v>130</v>
      </c>
      <c r="AC70" s="241"/>
      <c r="AG70" s="183" t="str">
        <f t="shared" si="2"/>
        <v xml:space="preserve">[x,x,x,x,x,0,0,0,1,1]-&gt;[0,1,1,x,x,1,1,x,x,0];   </v>
      </c>
    </row>
    <row r="71" spans="1:33" x14ac:dyDescent="0.25">
      <c r="A71" s="249"/>
      <c r="B71" s="191"/>
      <c r="C71" s="220" t="s">
        <v>135</v>
      </c>
      <c r="D71" s="214" t="s">
        <v>218</v>
      </c>
      <c r="E71" s="233" t="s">
        <v>218</v>
      </c>
      <c r="F71" s="214" t="s">
        <v>218</v>
      </c>
      <c r="G71" s="230" t="s">
        <v>218</v>
      </c>
      <c r="H71" s="233" t="s">
        <v>218</v>
      </c>
      <c r="I71" s="191">
        <v>0</v>
      </c>
      <c r="J71" s="191">
        <v>0</v>
      </c>
      <c r="K71" s="191">
        <v>1</v>
      </c>
      <c r="L71" s="191">
        <v>0</v>
      </c>
      <c r="M71" s="191">
        <v>0</v>
      </c>
      <c r="N71" s="191" t="s">
        <v>134</v>
      </c>
      <c r="O71" s="211" t="s">
        <v>212</v>
      </c>
      <c r="P71" s="191" t="s">
        <v>135</v>
      </c>
      <c r="Q71" s="191">
        <v>0</v>
      </c>
      <c r="R71" s="191">
        <v>0</v>
      </c>
      <c r="S71" s="191">
        <v>0</v>
      </c>
      <c r="T71" s="233" t="s">
        <v>218</v>
      </c>
      <c r="U71" s="230" t="s">
        <v>218</v>
      </c>
      <c r="V71" s="191">
        <v>1</v>
      </c>
      <c r="W71" s="191">
        <v>1</v>
      </c>
      <c r="X71" s="233" t="s">
        <v>218</v>
      </c>
      <c r="Y71" s="230" t="s">
        <v>218</v>
      </c>
      <c r="Z71" s="191">
        <v>0</v>
      </c>
      <c r="AA71" s="191" t="s">
        <v>134</v>
      </c>
      <c r="AB71" s="221" t="s">
        <v>130</v>
      </c>
      <c r="AC71" s="241"/>
      <c r="AE71" s="183" t="s">
        <v>201</v>
      </c>
      <c r="AG71" s="183" t="str">
        <f t="shared" si="2"/>
        <v xml:space="preserve">[x,x,x,x,x,0,0,1,0,0]-&gt;[0,0,0,x,x,1,1,x,x,0];   </v>
      </c>
    </row>
    <row r="72" spans="1:33" x14ac:dyDescent="0.25">
      <c r="A72" s="249"/>
      <c r="B72" s="191"/>
      <c r="C72" s="220" t="s">
        <v>135</v>
      </c>
      <c r="D72" s="214" t="s">
        <v>218</v>
      </c>
      <c r="E72" s="233" t="s">
        <v>218</v>
      </c>
      <c r="F72" s="214" t="s">
        <v>218</v>
      </c>
      <c r="G72" s="230" t="s">
        <v>218</v>
      </c>
      <c r="H72" s="233" t="s">
        <v>218</v>
      </c>
      <c r="I72" s="191">
        <v>0</v>
      </c>
      <c r="J72" s="191">
        <v>0</v>
      </c>
      <c r="K72" s="191">
        <v>1</v>
      </c>
      <c r="L72" s="191">
        <v>0</v>
      </c>
      <c r="M72" s="191">
        <v>1</v>
      </c>
      <c r="N72" s="191" t="s">
        <v>134</v>
      </c>
      <c r="O72" s="211" t="s">
        <v>212</v>
      </c>
      <c r="P72" s="191" t="s">
        <v>135</v>
      </c>
      <c r="Q72" s="191">
        <v>0</v>
      </c>
      <c r="R72" s="191">
        <v>0</v>
      </c>
      <c r="S72" s="191">
        <v>1</v>
      </c>
      <c r="T72" s="233" t="s">
        <v>218</v>
      </c>
      <c r="U72" s="230" t="s">
        <v>218</v>
      </c>
      <c r="V72" s="191">
        <v>1</v>
      </c>
      <c r="W72" s="191">
        <v>1</v>
      </c>
      <c r="X72" s="233" t="s">
        <v>218</v>
      </c>
      <c r="Y72" s="230" t="s">
        <v>218</v>
      </c>
      <c r="Z72" s="191">
        <v>0</v>
      </c>
      <c r="AA72" s="191" t="s">
        <v>134</v>
      </c>
      <c r="AB72" s="221" t="s">
        <v>130</v>
      </c>
      <c r="AC72" s="241"/>
      <c r="AG72" s="183" t="str">
        <f t="shared" si="2"/>
        <v xml:space="preserve">[x,x,x,x,x,0,0,1,0,1]-&gt;[0,0,1,x,x,1,1,x,x,0];   </v>
      </c>
    </row>
    <row r="73" spans="1:33" x14ac:dyDescent="0.25">
      <c r="A73" s="249"/>
      <c r="B73" s="191"/>
      <c r="C73" s="220" t="s">
        <v>135</v>
      </c>
      <c r="D73" s="214" t="s">
        <v>218</v>
      </c>
      <c r="E73" s="233" t="s">
        <v>218</v>
      </c>
      <c r="F73" s="214" t="s">
        <v>218</v>
      </c>
      <c r="G73" s="230" t="s">
        <v>218</v>
      </c>
      <c r="H73" s="233" t="s">
        <v>218</v>
      </c>
      <c r="I73" s="191">
        <v>0</v>
      </c>
      <c r="J73" s="191">
        <v>0</v>
      </c>
      <c r="K73" s="191">
        <v>1</v>
      </c>
      <c r="L73" s="191">
        <v>1</v>
      </c>
      <c r="M73" s="191">
        <v>0</v>
      </c>
      <c r="N73" s="191" t="s">
        <v>134</v>
      </c>
      <c r="O73" s="211" t="s">
        <v>212</v>
      </c>
      <c r="P73" s="191" t="s">
        <v>135</v>
      </c>
      <c r="Q73" s="191">
        <v>0</v>
      </c>
      <c r="R73" s="191">
        <v>1</v>
      </c>
      <c r="S73" s="191">
        <v>0</v>
      </c>
      <c r="T73" s="233" t="s">
        <v>218</v>
      </c>
      <c r="U73" s="230" t="s">
        <v>218</v>
      </c>
      <c r="V73" s="191">
        <v>1</v>
      </c>
      <c r="W73" s="191">
        <v>1</v>
      </c>
      <c r="X73" s="233" t="s">
        <v>218</v>
      </c>
      <c r="Y73" s="230" t="s">
        <v>218</v>
      </c>
      <c r="Z73" s="191">
        <v>0</v>
      </c>
      <c r="AA73" s="191" t="s">
        <v>134</v>
      </c>
      <c r="AB73" s="221" t="s">
        <v>130</v>
      </c>
      <c r="AC73" s="241"/>
      <c r="AE73" s="183" t="s">
        <v>199</v>
      </c>
      <c r="AG73" s="183" t="str">
        <f t="shared" si="2"/>
        <v xml:space="preserve">[x,x,x,x,x,0,0,1,1,0]-&gt;[0,1,0,x,x,1,1,x,x,0];   </v>
      </c>
    </row>
    <row r="74" spans="1:33" ht="15.75" thickBot="1" x14ac:dyDescent="0.3">
      <c r="A74" s="249"/>
      <c r="B74" s="191"/>
      <c r="C74" s="220" t="s">
        <v>135</v>
      </c>
      <c r="D74" s="214" t="s">
        <v>218</v>
      </c>
      <c r="E74" s="233" t="s">
        <v>218</v>
      </c>
      <c r="F74" s="214" t="s">
        <v>218</v>
      </c>
      <c r="G74" s="230" t="s">
        <v>218</v>
      </c>
      <c r="H74" s="233" t="s">
        <v>218</v>
      </c>
      <c r="I74" s="191">
        <v>0</v>
      </c>
      <c r="J74" s="191">
        <v>0</v>
      </c>
      <c r="K74" s="191">
        <v>1</v>
      </c>
      <c r="L74" s="191">
        <v>1</v>
      </c>
      <c r="M74" s="191">
        <v>1</v>
      </c>
      <c r="N74" s="191" t="s">
        <v>134</v>
      </c>
      <c r="O74" s="211" t="s">
        <v>212</v>
      </c>
      <c r="P74" s="191" t="s">
        <v>135</v>
      </c>
      <c r="Q74" s="191">
        <v>0</v>
      </c>
      <c r="R74" s="191">
        <v>1</v>
      </c>
      <c r="S74" s="191">
        <v>1</v>
      </c>
      <c r="T74" s="233" t="s">
        <v>218</v>
      </c>
      <c r="U74" s="230" t="s">
        <v>218</v>
      </c>
      <c r="V74" s="191">
        <v>1</v>
      </c>
      <c r="W74" s="191">
        <v>1</v>
      </c>
      <c r="X74" s="233" t="s">
        <v>218</v>
      </c>
      <c r="Y74" s="230" t="s">
        <v>218</v>
      </c>
      <c r="Z74" s="191">
        <v>0</v>
      </c>
      <c r="AA74" s="191" t="s">
        <v>134</v>
      </c>
      <c r="AB74" s="221" t="s">
        <v>130</v>
      </c>
      <c r="AC74" s="241"/>
      <c r="AG74" s="183" t="str">
        <f t="shared" si="2"/>
        <v xml:space="preserve">[x,x,x,x,x,0,0,1,1,1]-&gt;[0,1,1,x,x,1,1,x,x,0];   </v>
      </c>
    </row>
    <row r="75" spans="1:33" x14ac:dyDescent="0.25">
      <c r="A75" s="249"/>
      <c r="B75" s="191"/>
      <c r="C75" s="220" t="s">
        <v>135</v>
      </c>
      <c r="D75" s="297">
        <v>0</v>
      </c>
      <c r="E75" s="233" t="s">
        <v>218</v>
      </c>
      <c r="F75" s="214" t="s">
        <v>218</v>
      </c>
      <c r="G75" s="297">
        <v>1</v>
      </c>
      <c r="H75" s="297">
        <v>0</v>
      </c>
      <c r="I75" s="191">
        <v>0</v>
      </c>
      <c r="J75" s="191">
        <v>1</v>
      </c>
      <c r="K75" s="191">
        <v>0</v>
      </c>
      <c r="L75" s="191">
        <v>0</v>
      </c>
      <c r="M75" s="191">
        <v>0</v>
      </c>
      <c r="N75" s="191" t="s">
        <v>134</v>
      </c>
      <c r="O75" s="211" t="s">
        <v>212</v>
      </c>
      <c r="P75" s="191" t="s">
        <v>135</v>
      </c>
      <c r="Q75" s="191">
        <v>0</v>
      </c>
      <c r="R75" s="191">
        <v>0</v>
      </c>
      <c r="S75" s="191">
        <v>0</v>
      </c>
      <c r="T75" s="233" t="s">
        <v>218</v>
      </c>
      <c r="U75" s="230" t="s">
        <v>218</v>
      </c>
      <c r="V75" s="191">
        <v>1</v>
      </c>
      <c r="W75" s="191">
        <v>1</v>
      </c>
      <c r="X75" s="233" t="s">
        <v>218</v>
      </c>
      <c r="Y75" s="230" t="s">
        <v>218</v>
      </c>
      <c r="Z75" s="191">
        <v>0</v>
      </c>
      <c r="AA75" s="191" t="s">
        <v>134</v>
      </c>
      <c r="AB75" s="221" t="s">
        <v>130</v>
      </c>
      <c r="AC75" s="241"/>
      <c r="AE75" s="183" t="s">
        <v>196</v>
      </c>
      <c r="AG75" s="183" t="str">
        <f t="shared" si="2"/>
        <v xml:space="preserve">[0,x,x,1,0,0,1,0,0,0]-&gt;[0,0,0,x,x,1,1,x,x,0];   </v>
      </c>
    </row>
    <row r="76" spans="1:33" x14ac:dyDescent="0.25">
      <c r="A76" s="249"/>
      <c r="B76" s="191"/>
      <c r="C76" s="220" t="s">
        <v>135</v>
      </c>
      <c r="D76" s="298">
        <v>0</v>
      </c>
      <c r="E76" s="233" t="s">
        <v>218</v>
      </c>
      <c r="F76" s="214" t="s">
        <v>218</v>
      </c>
      <c r="G76" s="298">
        <v>1</v>
      </c>
      <c r="H76" s="298">
        <v>0</v>
      </c>
      <c r="I76" s="191">
        <v>0</v>
      </c>
      <c r="J76" s="191">
        <v>1</v>
      </c>
      <c r="K76" s="191">
        <v>0</v>
      </c>
      <c r="L76" s="191">
        <v>0</v>
      </c>
      <c r="M76" s="191">
        <v>1</v>
      </c>
      <c r="N76" s="191" t="s">
        <v>134</v>
      </c>
      <c r="O76" s="211" t="s">
        <v>212</v>
      </c>
      <c r="P76" s="191" t="s">
        <v>135</v>
      </c>
      <c r="Q76" s="191">
        <v>0</v>
      </c>
      <c r="R76" s="191">
        <v>0</v>
      </c>
      <c r="S76" s="191">
        <v>1</v>
      </c>
      <c r="T76" s="233" t="s">
        <v>218</v>
      </c>
      <c r="U76" s="230" t="s">
        <v>218</v>
      </c>
      <c r="V76" s="191">
        <v>1</v>
      </c>
      <c r="W76" s="191">
        <v>1</v>
      </c>
      <c r="X76" s="233" t="s">
        <v>218</v>
      </c>
      <c r="Y76" s="230" t="s">
        <v>218</v>
      </c>
      <c r="Z76" s="191">
        <v>0</v>
      </c>
      <c r="AA76" s="191" t="s">
        <v>134</v>
      </c>
      <c r="AB76" s="221" t="s">
        <v>130</v>
      </c>
      <c r="AC76" s="241"/>
      <c r="AG76" s="183" t="str">
        <f t="shared" si="2"/>
        <v xml:space="preserve">[0,x,x,1,0,0,1,0,0,1]-&gt;[0,0,1,x,x,1,1,x,x,0];   </v>
      </c>
    </row>
    <row r="77" spans="1:33" x14ac:dyDescent="0.25">
      <c r="A77" s="249"/>
      <c r="B77" s="191"/>
      <c r="C77" s="220" t="s">
        <v>135</v>
      </c>
      <c r="D77" s="298">
        <v>0</v>
      </c>
      <c r="E77" s="233" t="s">
        <v>218</v>
      </c>
      <c r="F77" s="214" t="s">
        <v>218</v>
      </c>
      <c r="G77" s="298">
        <v>1</v>
      </c>
      <c r="H77" s="298">
        <v>0</v>
      </c>
      <c r="I77" s="191">
        <v>0</v>
      </c>
      <c r="J77" s="191">
        <v>1</v>
      </c>
      <c r="K77" s="191">
        <v>0</v>
      </c>
      <c r="L77" s="191">
        <v>1</v>
      </c>
      <c r="M77" s="191">
        <v>0</v>
      </c>
      <c r="N77" s="191" t="s">
        <v>134</v>
      </c>
      <c r="O77" s="211" t="s">
        <v>212</v>
      </c>
      <c r="P77" s="191" t="s">
        <v>135</v>
      </c>
      <c r="Q77" s="191">
        <v>0</v>
      </c>
      <c r="R77" s="191">
        <v>1</v>
      </c>
      <c r="S77" s="191">
        <v>0</v>
      </c>
      <c r="T77" s="233" t="s">
        <v>218</v>
      </c>
      <c r="U77" s="230" t="s">
        <v>218</v>
      </c>
      <c r="V77" s="191">
        <v>1</v>
      </c>
      <c r="W77" s="191">
        <v>1</v>
      </c>
      <c r="X77" s="233" t="s">
        <v>218</v>
      </c>
      <c r="Y77" s="230" t="s">
        <v>218</v>
      </c>
      <c r="Z77" s="191">
        <v>0</v>
      </c>
      <c r="AA77" s="191" t="s">
        <v>134</v>
      </c>
      <c r="AB77" s="221" t="s">
        <v>130</v>
      </c>
      <c r="AC77" s="241"/>
      <c r="AE77" s="183" t="s">
        <v>194</v>
      </c>
      <c r="AG77" s="183" t="str">
        <f t="shared" si="2"/>
        <v xml:space="preserve">[0,x,x,1,0,0,1,0,1,0]-&gt;[0,1,0,x,x,1,1,x,x,0];   </v>
      </c>
    </row>
    <row r="78" spans="1:33" x14ac:dyDescent="0.25">
      <c r="A78" s="249"/>
      <c r="B78" s="191"/>
      <c r="C78" s="220" t="s">
        <v>135</v>
      </c>
      <c r="D78" s="298">
        <v>0</v>
      </c>
      <c r="E78" s="233" t="s">
        <v>218</v>
      </c>
      <c r="F78" s="214" t="s">
        <v>218</v>
      </c>
      <c r="G78" s="298">
        <v>1</v>
      </c>
      <c r="H78" s="298">
        <v>0</v>
      </c>
      <c r="I78" s="191">
        <v>0</v>
      </c>
      <c r="J78" s="191">
        <v>1</v>
      </c>
      <c r="K78" s="191">
        <v>0</v>
      </c>
      <c r="L78" s="191">
        <v>1</v>
      </c>
      <c r="M78" s="191">
        <v>1</v>
      </c>
      <c r="N78" s="191" t="s">
        <v>134</v>
      </c>
      <c r="O78" s="211" t="s">
        <v>212</v>
      </c>
      <c r="P78" s="191" t="s">
        <v>135</v>
      </c>
      <c r="Q78" s="191">
        <v>0</v>
      </c>
      <c r="R78" s="191">
        <v>1</v>
      </c>
      <c r="S78" s="191">
        <v>1</v>
      </c>
      <c r="T78" s="233" t="s">
        <v>218</v>
      </c>
      <c r="U78" s="230" t="s">
        <v>218</v>
      </c>
      <c r="V78" s="191">
        <v>1</v>
      </c>
      <c r="W78" s="191">
        <v>1</v>
      </c>
      <c r="X78" s="233" t="s">
        <v>218</v>
      </c>
      <c r="Y78" s="230" t="s">
        <v>218</v>
      </c>
      <c r="Z78" s="191">
        <v>0</v>
      </c>
      <c r="AA78" s="191" t="s">
        <v>134</v>
      </c>
      <c r="AB78" s="221" t="s">
        <v>130</v>
      </c>
      <c r="AC78" s="241"/>
      <c r="AG78" s="183" t="str">
        <f t="shared" si="2"/>
        <v xml:space="preserve">[0,x,x,1,0,0,1,0,1,1]-&gt;[0,1,1,x,x,1,1,x,x,0];   </v>
      </c>
    </row>
    <row r="79" spans="1:33" x14ac:dyDescent="0.25">
      <c r="A79" s="249"/>
      <c r="B79" s="191"/>
      <c r="C79" s="220" t="s">
        <v>135</v>
      </c>
      <c r="D79" s="298">
        <v>0</v>
      </c>
      <c r="E79" s="233" t="s">
        <v>218</v>
      </c>
      <c r="F79" s="214" t="s">
        <v>218</v>
      </c>
      <c r="G79" s="298">
        <v>1</v>
      </c>
      <c r="H79" s="298">
        <v>0</v>
      </c>
      <c r="I79" s="191">
        <v>0</v>
      </c>
      <c r="J79" s="191">
        <v>1</v>
      </c>
      <c r="K79" s="191">
        <v>1</v>
      </c>
      <c r="L79" s="191">
        <v>0</v>
      </c>
      <c r="M79" s="191">
        <v>0</v>
      </c>
      <c r="N79" s="191" t="s">
        <v>134</v>
      </c>
      <c r="O79" s="211" t="s">
        <v>212</v>
      </c>
      <c r="P79" s="191" t="s">
        <v>135</v>
      </c>
      <c r="Q79" s="191">
        <v>0</v>
      </c>
      <c r="R79" s="191">
        <v>0</v>
      </c>
      <c r="S79" s="191">
        <v>0</v>
      </c>
      <c r="T79" s="233" t="s">
        <v>218</v>
      </c>
      <c r="U79" s="230" t="s">
        <v>218</v>
      </c>
      <c r="V79" s="191">
        <v>1</v>
      </c>
      <c r="W79" s="191">
        <v>1</v>
      </c>
      <c r="X79" s="233" t="s">
        <v>218</v>
      </c>
      <c r="Y79" s="230" t="s">
        <v>218</v>
      </c>
      <c r="Z79" s="191">
        <v>0</v>
      </c>
      <c r="AA79" s="191" t="s">
        <v>134</v>
      </c>
      <c r="AB79" s="221" t="s">
        <v>130</v>
      </c>
      <c r="AC79" s="241"/>
      <c r="AE79" s="183" t="s">
        <v>191</v>
      </c>
      <c r="AG79" s="183" t="str">
        <f t="shared" si="2"/>
        <v xml:space="preserve">[0,x,x,1,0,0,1,1,0,0]-&gt;[0,0,0,x,x,1,1,x,x,0];   </v>
      </c>
    </row>
    <row r="80" spans="1:33" x14ac:dyDescent="0.25">
      <c r="A80" s="249"/>
      <c r="B80" s="191"/>
      <c r="C80" s="220" t="s">
        <v>135</v>
      </c>
      <c r="D80" s="298">
        <v>0</v>
      </c>
      <c r="E80" s="233" t="s">
        <v>218</v>
      </c>
      <c r="F80" s="214" t="s">
        <v>218</v>
      </c>
      <c r="G80" s="298">
        <v>1</v>
      </c>
      <c r="H80" s="298">
        <v>0</v>
      </c>
      <c r="I80" s="191">
        <v>0</v>
      </c>
      <c r="J80" s="191">
        <v>1</v>
      </c>
      <c r="K80" s="191">
        <v>1</v>
      </c>
      <c r="L80" s="191">
        <v>0</v>
      </c>
      <c r="M80" s="191">
        <v>1</v>
      </c>
      <c r="N80" s="191" t="s">
        <v>134</v>
      </c>
      <c r="O80" s="211" t="s">
        <v>212</v>
      </c>
      <c r="P80" s="191" t="s">
        <v>135</v>
      </c>
      <c r="Q80" s="191">
        <v>0</v>
      </c>
      <c r="R80" s="191">
        <v>0</v>
      </c>
      <c r="S80" s="191">
        <v>1</v>
      </c>
      <c r="T80" s="233" t="s">
        <v>218</v>
      </c>
      <c r="U80" s="230" t="s">
        <v>218</v>
      </c>
      <c r="V80" s="191">
        <v>1</v>
      </c>
      <c r="W80" s="191">
        <v>1</v>
      </c>
      <c r="X80" s="233" t="s">
        <v>218</v>
      </c>
      <c r="Y80" s="230" t="s">
        <v>218</v>
      </c>
      <c r="Z80" s="191">
        <v>0</v>
      </c>
      <c r="AA80" s="191" t="s">
        <v>134</v>
      </c>
      <c r="AB80" s="221" t="s">
        <v>130</v>
      </c>
      <c r="AC80" s="241"/>
      <c r="AG80" s="183" t="str">
        <f t="shared" si="2"/>
        <v xml:space="preserve">[0,x,x,1,0,0,1,1,0,1]-&gt;[0,0,1,x,x,1,1,x,x,0];   </v>
      </c>
    </row>
    <row r="81" spans="1:33" x14ac:dyDescent="0.25">
      <c r="A81" s="249"/>
      <c r="B81" s="191"/>
      <c r="C81" s="220" t="s">
        <v>135</v>
      </c>
      <c r="D81" s="298">
        <v>0</v>
      </c>
      <c r="E81" s="233" t="s">
        <v>218</v>
      </c>
      <c r="F81" s="214" t="s">
        <v>218</v>
      </c>
      <c r="G81" s="298">
        <v>1</v>
      </c>
      <c r="H81" s="298">
        <v>0</v>
      </c>
      <c r="I81" s="191">
        <v>0</v>
      </c>
      <c r="J81" s="191">
        <v>1</v>
      </c>
      <c r="K81" s="191">
        <v>1</v>
      </c>
      <c r="L81" s="191">
        <v>1</v>
      </c>
      <c r="M81" s="191">
        <v>0</v>
      </c>
      <c r="N81" s="191" t="s">
        <v>134</v>
      </c>
      <c r="O81" s="211" t="s">
        <v>212</v>
      </c>
      <c r="P81" s="191" t="s">
        <v>135</v>
      </c>
      <c r="Q81" s="191">
        <v>0</v>
      </c>
      <c r="R81" s="191">
        <v>1</v>
      </c>
      <c r="S81" s="191">
        <v>0</v>
      </c>
      <c r="T81" s="233" t="s">
        <v>218</v>
      </c>
      <c r="U81" s="230" t="s">
        <v>218</v>
      </c>
      <c r="V81" s="191">
        <v>1</v>
      </c>
      <c r="W81" s="191">
        <v>1</v>
      </c>
      <c r="X81" s="233" t="s">
        <v>218</v>
      </c>
      <c r="Y81" s="230" t="s">
        <v>218</v>
      </c>
      <c r="Z81" s="191">
        <v>0</v>
      </c>
      <c r="AA81" s="191" t="s">
        <v>134</v>
      </c>
      <c r="AB81" s="221" t="s">
        <v>130</v>
      </c>
      <c r="AC81" s="241"/>
      <c r="AE81" s="183" t="s">
        <v>188</v>
      </c>
      <c r="AG81" s="183" t="str">
        <f t="shared" si="2"/>
        <v xml:space="preserve">[0,x,x,1,0,0,1,1,1,0]-&gt;[0,1,0,x,x,1,1,x,x,0];   </v>
      </c>
    </row>
    <row r="82" spans="1:33" x14ac:dyDescent="0.25">
      <c r="A82" s="249"/>
      <c r="B82" s="191"/>
      <c r="C82" s="220" t="s">
        <v>135</v>
      </c>
      <c r="D82" s="298">
        <v>0</v>
      </c>
      <c r="E82" s="233" t="s">
        <v>218</v>
      </c>
      <c r="F82" s="214" t="s">
        <v>218</v>
      </c>
      <c r="G82" s="298">
        <v>1</v>
      </c>
      <c r="H82" s="298">
        <v>0</v>
      </c>
      <c r="I82" s="191">
        <v>0</v>
      </c>
      <c r="J82" s="191">
        <v>1</v>
      </c>
      <c r="K82" s="191">
        <v>1</v>
      </c>
      <c r="L82" s="191">
        <v>1</v>
      </c>
      <c r="M82" s="191">
        <v>1</v>
      </c>
      <c r="N82" s="191" t="s">
        <v>134</v>
      </c>
      <c r="O82" s="211" t="s">
        <v>212</v>
      </c>
      <c r="P82" s="191" t="s">
        <v>135</v>
      </c>
      <c r="Q82" s="191">
        <v>0</v>
      </c>
      <c r="R82" s="191">
        <v>1</v>
      </c>
      <c r="S82" s="191">
        <v>1</v>
      </c>
      <c r="T82" s="233" t="s">
        <v>218</v>
      </c>
      <c r="U82" s="230" t="s">
        <v>218</v>
      </c>
      <c r="V82" s="191">
        <v>1</v>
      </c>
      <c r="W82" s="191">
        <v>1</v>
      </c>
      <c r="X82" s="233" t="s">
        <v>218</v>
      </c>
      <c r="Y82" s="230" t="s">
        <v>218</v>
      </c>
      <c r="Z82" s="191">
        <v>0</v>
      </c>
      <c r="AA82" s="191" t="s">
        <v>134</v>
      </c>
      <c r="AB82" s="221" t="s">
        <v>130</v>
      </c>
      <c r="AC82" s="241"/>
      <c r="AG82" s="183" t="str">
        <f t="shared" si="2"/>
        <v xml:space="preserve">[0,x,x,1,0,0,1,1,1,1]-&gt;[0,1,1,x,x,1,1,x,x,0];   </v>
      </c>
    </row>
    <row r="83" spans="1:33" x14ac:dyDescent="0.25">
      <c r="A83" s="249"/>
      <c r="B83" s="191"/>
      <c r="C83" s="220" t="s">
        <v>135</v>
      </c>
      <c r="D83" s="298">
        <v>0</v>
      </c>
      <c r="E83" s="233" t="s">
        <v>218</v>
      </c>
      <c r="F83" s="214" t="s">
        <v>218</v>
      </c>
      <c r="G83" s="298">
        <v>1</v>
      </c>
      <c r="H83" s="298">
        <v>0</v>
      </c>
      <c r="I83" s="191">
        <v>1</v>
      </c>
      <c r="J83" s="191">
        <v>0</v>
      </c>
      <c r="K83" s="191">
        <v>0</v>
      </c>
      <c r="L83" s="191">
        <v>0</v>
      </c>
      <c r="M83" s="191">
        <v>0</v>
      </c>
      <c r="N83" s="191" t="s">
        <v>134</v>
      </c>
      <c r="O83" s="211" t="s">
        <v>212</v>
      </c>
      <c r="P83" s="191" t="s">
        <v>135</v>
      </c>
      <c r="Q83" s="191">
        <v>1</v>
      </c>
      <c r="R83" s="191">
        <v>0</v>
      </c>
      <c r="S83" s="191">
        <v>0</v>
      </c>
      <c r="T83" s="233" t="s">
        <v>218</v>
      </c>
      <c r="U83" s="230" t="s">
        <v>218</v>
      </c>
      <c r="V83" s="191">
        <v>1</v>
      </c>
      <c r="W83" s="191">
        <v>1</v>
      </c>
      <c r="X83" s="233" t="s">
        <v>218</v>
      </c>
      <c r="Y83" s="230" t="s">
        <v>218</v>
      </c>
      <c r="Z83" s="191">
        <v>0</v>
      </c>
      <c r="AA83" s="191" t="s">
        <v>134</v>
      </c>
      <c r="AB83" s="221" t="s">
        <v>130</v>
      </c>
      <c r="AC83" s="241"/>
      <c r="AE83" s="183" t="s">
        <v>183</v>
      </c>
      <c r="AG83" s="183" t="str">
        <f t="shared" si="2"/>
        <v xml:space="preserve">[0,x,x,1,0,1,0,0,0,0]-&gt;[1,0,0,x,x,1,1,x,x,0];   </v>
      </c>
    </row>
    <row r="84" spans="1:33" x14ac:dyDescent="0.25">
      <c r="A84" s="249"/>
      <c r="B84" s="191"/>
      <c r="C84" s="220" t="s">
        <v>135</v>
      </c>
      <c r="D84" s="298">
        <v>0</v>
      </c>
      <c r="E84" s="233" t="s">
        <v>218</v>
      </c>
      <c r="F84" s="214" t="s">
        <v>218</v>
      </c>
      <c r="G84" s="298">
        <v>1</v>
      </c>
      <c r="H84" s="298">
        <v>0</v>
      </c>
      <c r="I84" s="191">
        <v>1</v>
      </c>
      <c r="J84" s="191">
        <v>0</v>
      </c>
      <c r="K84" s="191">
        <v>0</v>
      </c>
      <c r="L84" s="191">
        <v>0</v>
      </c>
      <c r="M84" s="191">
        <v>1</v>
      </c>
      <c r="N84" s="191" t="s">
        <v>134</v>
      </c>
      <c r="O84" s="211" t="s">
        <v>212</v>
      </c>
      <c r="P84" s="191" t="s">
        <v>135</v>
      </c>
      <c r="Q84" s="191">
        <v>1</v>
      </c>
      <c r="R84" s="191">
        <v>0</v>
      </c>
      <c r="S84" s="191">
        <v>1</v>
      </c>
      <c r="T84" s="233" t="s">
        <v>218</v>
      </c>
      <c r="U84" s="230" t="s">
        <v>218</v>
      </c>
      <c r="V84" s="191">
        <v>1</v>
      </c>
      <c r="W84" s="191">
        <v>1</v>
      </c>
      <c r="X84" s="233" t="s">
        <v>218</v>
      </c>
      <c r="Y84" s="230" t="s">
        <v>218</v>
      </c>
      <c r="Z84" s="191">
        <v>0</v>
      </c>
      <c r="AA84" s="191" t="s">
        <v>134</v>
      </c>
      <c r="AB84" s="221" t="s">
        <v>130</v>
      </c>
      <c r="AC84" s="241"/>
      <c r="AG84" s="183" t="str">
        <f t="shared" si="2"/>
        <v xml:space="preserve">[0,x,x,1,0,1,0,0,0,1]-&gt;[1,0,1,x,x,1,1,x,x,0];   </v>
      </c>
    </row>
    <row r="85" spans="1:33" x14ac:dyDescent="0.25">
      <c r="A85" s="249"/>
      <c r="B85" s="191"/>
      <c r="C85" s="220" t="s">
        <v>135</v>
      </c>
      <c r="D85" s="298">
        <v>0</v>
      </c>
      <c r="E85" s="233" t="s">
        <v>218</v>
      </c>
      <c r="F85" s="214" t="s">
        <v>218</v>
      </c>
      <c r="G85" s="298">
        <v>1</v>
      </c>
      <c r="H85" s="298">
        <v>0</v>
      </c>
      <c r="I85" s="191">
        <v>1</v>
      </c>
      <c r="J85" s="191">
        <v>0</v>
      </c>
      <c r="K85" s="191">
        <v>0</v>
      </c>
      <c r="L85" s="191">
        <v>1</v>
      </c>
      <c r="M85" s="191">
        <v>0</v>
      </c>
      <c r="N85" s="191" t="s">
        <v>134</v>
      </c>
      <c r="O85" s="211" t="s">
        <v>212</v>
      </c>
      <c r="P85" s="191" t="s">
        <v>135</v>
      </c>
      <c r="Q85" s="191">
        <v>1</v>
      </c>
      <c r="R85" s="191">
        <v>1</v>
      </c>
      <c r="S85" s="191">
        <v>0</v>
      </c>
      <c r="T85" s="233" t="s">
        <v>218</v>
      </c>
      <c r="U85" s="230" t="s">
        <v>218</v>
      </c>
      <c r="V85" s="191">
        <v>1</v>
      </c>
      <c r="W85" s="191">
        <v>1</v>
      </c>
      <c r="X85" s="233" t="s">
        <v>218</v>
      </c>
      <c r="Y85" s="230" t="s">
        <v>218</v>
      </c>
      <c r="Z85" s="191">
        <v>0</v>
      </c>
      <c r="AA85" s="191" t="s">
        <v>134</v>
      </c>
      <c r="AB85" s="221" t="s">
        <v>130</v>
      </c>
      <c r="AC85" s="241"/>
      <c r="AE85" s="183" t="s">
        <v>181</v>
      </c>
      <c r="AG85" s="183" t="str">
        <f t="shared" si="2"/>
        <v xml:space="preserve">[0,x,x,1,0,1,0,0,1,0]-&gt;[1,1,0,x,x,1,1,x,x,0];   </v>
      </c>
    </row>
    <row r="86" spans="1:33" x14ac:dyDescent="0.25">
      <c r="A86" s="249"/>
      <c r="B86" s="191"/>
      <c r="C86" s="220" t="s">
        <v>135</v>
      </c>
      <c r="D86" s="298">
        <v>0</v>
      </c>
      <c r="E86" s="233" t="s">
        <v>218</v>
      </c>
      <c r="F86" s="214" t="s">
        <v>218</v>
      </c>
      <c r="G86" s="298">
        <v>1</v>
      </c>
      <c r="H86" s="298">
        <v>0</v>
      </c>
      <c r="I86" s="191">
        <v>1</v>
      </c>
      <c r="J86" s="191">
        <v>0</v>
      </c>
      <c r="K86" s="191">
        <v>0</v>
      </c>
      <c r="L86" s="191">
        <v>1</v>
      </c>
      <c r="M86" s="191">
        <v>1</v>
      </c>
      <c r="N86" s="191" t="s">
        <v>134</v>
      </c>
      <c r="O86" s="211" t="s">
        <v>212</v>
      </c>
      <c r="P86" s="191" t="s">
        <v>135</v>
      </c>
      <c r="Q86" s="191">
        <v>1</v>
      </c>
      <c r="R86" s="191">
        <v>1</v>
      </c>
      <c r="S86" s="191">
        <v>1</v>
      </c>
      <c r="T86" s="233" t="s">
        <v>218</v>
      </c>
      <c r="U86" s="230" t="s">
        <v>218</v>
      </c>
      <c r="V86" s="191">
        <v>1</v>
      </c>
      <c r="W86" s="191">
        <v>1</v>
      </c>
      <c r="X86" s="233" t="s">
        <v>218</v>
      </c>
      <c r="Y86" s="230" t="s">
        <v>218</v>
      </c>
      <c r="Z86" s="191">
        <v>0</v>
      </c>
      <c r="AA86" s="191" t="s">
        <v>134</v>
      </c>
      <c r="AB86" s="221" t="s">
        <v>130</v>
      </c>
      <c r="AC86" s="241"/>
      <c r="AG86" s="183" t="str">
        <f t="shared" si="2"/>
        <v xml:space="preserve">[0,x,x,1,0,1,0,0,1,1]-&gt;[1,1,1,x,x,1,1,x,x,0];   </v>
      </c>
    </row>
    <row r="87" spans="1:33" x14ac:dyDescent="0.25">
      <c r="A87" s="249"/>
      <c r="B87" s="191"/>
      <c r="C87" s="220" t="s">
        <v>135</v>
      </c>
      <c r="D87" s="298">
        <v>0</v>
      </c>
      <c r="E87" s="233" t="s">
        <v>218</v>
      </c>
      <c r="F87" s="214" t="s">
        <v>218</v>
      </c>
      <c r="G87" s="298">
        <v>1</v>
      </c>
      <c r="H87" s="298">
        <v>0</v>
      </c>
      <c r="I87" s="191">
        <v>1</v>
      </c>
      <c r="J87" s="191">
        <v>0</v>
      </c>
      <c r="K87" s="191">
        <v>1</v>
      </c>
      <c r="L87" s="191">
        <v>0</v>
      </c>
      <c r="M87" s="191">
        <v>0</v>
      </c>
      <c r="N87" s="191" t="s">
        <v>134</v>
      </c>
      <c r="O87" s="211" t="s">
        <v>212</v>
      </c>
      <c r="P87" s="191" t="s">
        <v>135</v>
      </c>
      <c r="Q87" s="191">
        <v>1</v>
      </c>
      <c r="R87" s="191">
        <v>0</v>
      </c>
      <c r="S87" s="191">
        <v>0</v>
      </c>
      <c r="T87" s="233" t="s">
        <v>218</v>
      </c>
      <c r="U87" s="230" t="s">
        <v>218</v>
      </c>
      <c r="V87" s="191">
        <v>1</v>
      </c>
      <c r="W87" s="191">
        <v>1</v>
      </c>
      <c r="X87" s="233" t="s">
        <v>218</v>
      </c>
      <c r="Y87" s="230" t="s">
        <v>218</v>
      </c>
      <c r="Z87" s="191">
        <v>0</v>
      </c>
      <c r="AA87" s="191" t="s">
        <v>134</v>
      </c>
      <c r="AB87" s="221" t="s">
        <v>130</v>
      </c>
      <c r="AC87" s="241"/>
      <c r="AE87" s="183" t="s">
        <v>178</v>
      </c>
      <c r="AG87" s="183" t="str">
        <f t="shared" si="2"/>
        <v xml:space="preserve">[0,x,x,1,0,1,0,1,0,0]-&gt;[1,0,0,x,x,1,1,x,x,0];   </v>
      </c>
    </row>
    <row r="88" spans="1:33" x14ac:dyDescent="0.25">
      <c r="A88" s="249"/>
      <c r="B88" s="191"/>
      <c r="C88" s="220" t="s">
        <v>135</v>
      </c>
      <c r="D88" s="298">
        <v>0</v>
      </c>
      <c r="E88" s="233" t="s">
        <v>218</v>
      </c>
      <c r="F88" s="214" t="s">
        <v>218</v>
      </c>
      <c r="G88" s="298">
        <v>1</v>
      </c>
      <c r="H88" s="298">
        <v>0</v>
      </c>
      <c r="I88" s="191">
        <v>1</v>
      </c>
      <c r="J88" s="191">
        <v>0</v>
      </c>
      <c r="K88" s="191">
        <v>1</v>
      </c>
      <c r="L88" s="191">
        <v>0</v>
      </c>
      <c r="M88" s="191">
        <v>1</v>
      </c>
      <c r="N88" s="191" t="s">
        <v>134</v>
      </c>
      <c r="O88" s="211" t="s">
        <v>212</v>
      </c>
      <c r="P88" s="191" t="s">
        <v>135</v>
      </c>
      <c r="Q88" s="191">
        <v>1</v>
      </c>
      <c r="R88" s="191">
        <v>0</v>
      </c>
      <c r="S88" s="191">
        <v>1</v>
      </c>
      <c r="T88" s="233" t="s">
        <v>218</v>
      </c>
      <c r="U88" s="230" t="s">
        <v>218</v>
      </c>
      <c r="V88" s="191">
        <v>1</v>
      </c>
      <c r="W88" s="191">
        <v>1</v>
      </c>
      <c r="X88" s="233" t="s">
        <v>218</v>
      </c>
      <c r="Y88" s="230" t="s">
        <v>218</v>
      </c>
      <c r="Z88" s="191">
        <v>0</v>
      </c>
      <c r="AA88" s="191" t="s">
        <v>134</v>
      </c>
      <c r="AB88" s="221" t="s">
        <v>130</v>
      </c>
      <c r="AC88" s="241"/>
      <c r="AG88" s="183" t="str">
        <f t="shared" si="2"/>
        <v xml:space="preserve">[0,x,x,1,0,1,0,1,0,1]-&gt;[1,0,1,x,x,1,1,x,x,0];   </v>
      </c>
    </row>
    <row r="89" spans="1:33" x14ac:dyDescent="0.25">
      <c r="A89" s="249"/>
      <c r="B89" s="191"/>
      <c r="C89" s="220" t="s">
        <v>135</v>
      </c>
      <c r="D89" s="298">
        <v>0</v>
      </c>
      <c r="E89" s="233" t="s">
        <v>218</v>
      </c>
      <c r="F89" s="214" t="s">
        <v>218</v>
      </c>
      <c r="G89" s="298">
        <v>1</v>
      </c>
      <c r="H89" s="298">
        <v>0</v>
      </c>
      <c r="I89" s="191">
        <v>1</v>
      </c>
      <c r="J89" s="191">
        <v>0</v>
      </c>
      <c r="K89" s="191">
        <v>1</v>
      </c>
      <c r="L89" s="191">
        <v>1</v>
      </c>
      <c r="M89" s="191">
        <v>0</v>
      </c>
      <c r="N89" s="191" t="s">
        <v>134</v>
      </c>
      <c r="O89" s="211" t="s">
        <v>212</v>
      </c>
      <c r="P89" s="191" t="s">
        <v>135</v>
      </c>
      <c r="Q89" s="191">
        <v>1</v>
      </c>
      <c r="R89" s="191">
        <v>1</v>
      </c>
      <c r="S89" s="191">
        <v>0</v>
      </c>
      <c r="T89" s="233" t="s">
        <v>218</v>
      </c>
      <c r="U89" s="230" t="s">
        <v>218</v>
      </c>
      <c r="V89" s="191">
        <v>1</v>
      </c>
      <c r="W89" s="191">
        <v>1</v>
      </c>
      <c r="X89" s="233" t="s">
        <v>218</v>
      </c>
      <c r="Y89" s="230" t="s">
        <v>218</v>
      </c>
      <c r="Z89" s="191">
        <v>0</v>
      </c>
      <c r="AA89" s="191" t="s">
        <v>134</v>
      </c>
      <c r="AB89" s="221" t="s">
        <v>130</v>
      </c>
      <c r="AC89" s="241"/>
      <c r="AE89" s="183" t="s">
        <v>176</v>
      </c>
      <c r="AG89" s="183" t="str">
        <f t="shared" si="2"/>
        <v xml:space="preserve">[0,x,x,1,0,1,0,1,1,0]-&gt;[1,1,0,x,x,1,1,x,x,0];   </v>
      </c>
    </row>
    <row r="90" spans="1:33" ht="15.75" thickBot="1" x14ac:dyDescent="0.3">
      <c r="A90" s="249"/>
      <c r="B90" s="191"/>
      <c r="C90" s="220" t="s">
        <v>135</v>
      </c>
      <c r="D90" s="298">
        <v>0</v>
      </c>
      <c r="E90" s="233" t="s">
        <v>218</v>
      </c>
      <c r="F90" s="214" t="s">
        <v>218</v>
      </c>
      <c r="G90" s="298">
        <v>1</v>
      </c>
      <c r="H90" s="298">
        <v>0</v>
      </c>
      <c r="I90" s="191">
        <v>1</v>
      </c>
      <c r="J90" s="191">
        <v>0</v>
      </c>
      <c r="K90" s="191">
        <v>1</v>
      </c>
      <c r="L90" s="191">
        <v>1</v>
      </c>
      <c r="M90" s="191">
        <v>1</v>
      </c>
      <c r="N90" s="191" t="s">
        <v>134</v>
      </c>
      <c r="O90" s="211" t="s">
        <v>212</v>
      </c>
      <c r="P90" s="191" t="s">
        <v>135</v>
      </c>
      <c r="Q90" s="191">
        <v>1</v>
      </c>
      <c r="R90" s="191">
        <v>1</v>
      </c>
      <c r="S90" s="191">
        <v>1</v>
      </c>
      <c r="T90" s="233" t="s">
        <v>218</v>
      </c>
      <c r="U90" s="230" t="s">
        <v>218</v>
      </c>
      <c r="V90" s="191">
        <v>1</v>
      </c>
      <c r="W90" s="191">
        <v>1</v>
      </c>
      <c r="X90" s="233" t="s">
        <v>218</v>
      </c>
      <c r="Y90" s="230" t="s">
        <v>218</v>
      </c>
      <c r="Z90" s="191">
        <v>0</v>
      </c>
      <c r="AA90" s="191" t="s">
        <v>134</v>
      </c>
      <c r="AB90" s="221" t="s">
        <v>130</v>
      </c>
      <c r="AC90" s="241"/>
      <c r="AG90" s="183" t="str">
        <f t="shared" si="2"/>
        <v xml:space="preserve">[0,x,x,1,0,1,0,1,1,1]-&gt;[1,1,1,x,x,1,1,x,x,0];   </v>
      </c>
    </row>
    <row r="91" spans="1:33" x14ac:dyDescent="0.25">
      <c r="A91" s="249"/>
      <c r="B91" s="191"/>
      <c r="C91" s="220" t="s">
        <v>135</v>
      </c>
      <c r="D91" s="298">
        <v>0</v>
      </c>
      <c r="E91" s="233" t="s">
        <v>218</v>
      </c>
      <c r="F91" s="214" t="s">
        <v>218</v>
      </c>
      <c r="G91" s="298">
        <v>1</v>
      </c>
      <c r="H91" s="298">
        <v>0</v>
      </c>
      <c r="I91" s="216">
        <v>1</v>
      </c>
      <c r="J91" s="217">
        <v>1</v>
      </c>
      <c r="K91" s="219">
        <v>0</v>
      </c>
      <c r="L91" s="191">
        <v>0</v>
      </c>
      <c r="M91" s="191">
        <v>0</v>
      </c>
      <c r="N91" s="191" t="s">
        <v>134</v>
      </c>
      <c r="O91" s="211" t="s">
        <v>212</v>
      </c>
      <c r="P91" s="191" t="s">
        <v>135</v>
      </c>
      <c r="Q91" s="191">
        <v>1</v>
      </c>
      <c r="R91" s="191">
        <v>0</v>
      </c>
      <c r="S91" s="191">
        <v>0</v>
      </c>
      <c r="T91" s="233" t="s">
        <v>218</v>
      </c>
      <c r="U91" s="230" t="s">
        <v>218</v>
      </c>
      <c r="V91" s="191">
        <v>1</v>
      </c>
      <c r="W91" s="191">
        <v>1</v>
      </c>
      <c r="X91" s="233" t="s">
        <v>218</v>
      </c>
      <c r="Y91" s="230" t="s">
        <v>218</v>
      </c>
      <c r="Z91" s="191">
        <v>0</v>
      </c>
      <c r="AA91" s="191" t="s">
        <v>134</v>
      </c>
      <c r="AB91" s="221" t="s">
        <v>130</v>
      </c>
      <c r="AC91" s="241" t="s">
        <v>216</v>
      </c>
      <c r="AD91" s="277" t="s">
        <v>217</v>
      </c>
      <c r="AE91" s="183" t="s">
        <v>172</v>
      </c>
      <c r="AG91" s="183" t="str">
        <f t="shared" si="2"/>
        <v>[0,x,x,1,0,1,1,0,0,0]-&gt;[1,0,0,x,x,1,1,x,x,0];   "Low-Rom auf dem Board</v>
      </c>
    </row>
    <row r="92" spans="1:33" x14ac:dyDescent="0.25">
      <c r="A92" s="249"/>
      <c r="B92" s="191"/>
      <c r="C92" s="220" t="s">
        <v>135</v>
      </c>
      <c r="D92" s="298">
        <v>0</v>
      </c>
      <c r="E92" s="233" t="s">
        <v>218</v>
      </c>
      <c r="F92" s="214" t="s">
        <v>218</v>
      </c>
      <c r="G92" s="298">
        <v>1</v>
      </c>
      <c r="H92" s="298">
        <v>0</v>
      </c>
      <c r="I92" s="220">
        <v>1</v>
      </c>
      <c r="J92" s="191">
        <v>1</v>
      </c>
      <c r="K92" s="221">
        <v>0</v>
      </c>
      <c r="L92" s="191">
        <v>0</v>
      </c>
      <c r="M92" s="191">
        <v>1</v>
      </c>
      <c r="N92" s="191" t="s">
        <v>134</v>
      </c>
      <c r="O92" s="211" t="s">
        <v>212</v>
      </c>
      <c r="P92" s="191" t="s">
        <v>135</v>
      </c>
      <c r="Q92" s="191">
        <v>1</v>
      </c>
      <c r="R92" s="191">
        <v>0</v>
      </c>
      <c r="S92" s="191">
        <v>1</v>
      </c>
      <c r="T92" s="233" t="s">
        <v>218</v>
      </c>
      <c r="U92" s="230" t="s">
        <v>218</v>
      </c>
      <c r="V92" s="191">
        <v>1</v>
      </c>
      <c r="W92" s="191">
        <v>1</v>
      </c>
      <c r="X92" s="233" t="s">
        <v>218</v>
      </c>
      <c r="Y92" s="230" t="s">
        <v>218</v>
      </c>
      <c r="Z92" s="191">
        <v>0</v>
      </c>
      <c r="AA92" s="191" t="s">
        <v>134</v>
      </c>
      <c r="AB92" s="221" t="s">
        <v>130</v>
      </c>
      <c r="AD92" s="252"/>
      <c r="AG92" s="183" t="str">
        <f t="shared" si="2"/>
        <v xml:space="preserve">[0,x,x,1,0,1,1,0,0,1]-&gt;[1,0,1,x,x,1,1,x,x,0];   </v>
      </c>
    </row>
    <row r="93" spans="1:33" ht="15.75" customHeight="1" x14ac:dyDescent="0.25">
      <c r="A93" s="249"/>
      <c r="B93" s="191"/>
      <c r="C93" s="220" t="s">
        <v>135</v>
      </c>
      <c r="D93" s="298">
        <v>0</v>
      </c>
      <c r="E93" s="233" t="s">
        <v>218</v>
      </c>
      <c r="F93" s="214" t="s">
        <v>218</v>
      </c>
      <c r="G93" s="298">
        <v>1</v>
      </c>
      <c r="H93" s="298">
        <v>0</v>
      </c>
      <c r="I93" s="220">
        <v>1</v>
      </c>
      <c r="J93" s="191">
        <v>1</v>
      </c>
      <c r="K93" s="221">
        <v>0</v>
      </c>
      <c r="L93" s="191">
        <v>1</v>
      </c>
      <c r="M93" s="191">
        <v>0</v>
      </c>
      <c r="N93" s="191" t="s">
        <v>134</v>
      </c>
      <c r="O93" s="211" t="s">
        <v>212</v>
      </c>
      <c r="P93" s="191" t="s">
        <v>135</v>
      </c>
      <c r="Q93" s="191">
        <v>1</v>
      </c>
      <c r="R93" s="191">
        <v>1</v>
      </c>
      <c r="S93" s="191">
        <v>0</v>
      </c>
      <c r="T93" s="233" t="s">
        <v>218</v>
      </c>
      <c r="U93" s="230" t="s">
        <v>218</v>
      </c>
      <c r="V93" s="191">
        <v>1</v>
      </c>
      <c r="W93" s="191">
        <v>1</v>
      </c>
      <c r="X93" s="233" t="s">
        <v>218</v>
      </c>
      <c r="Y93" s="230" t="s">
        <v>218</v>
      </c>
      <c r="Z93" s="191">
        <v>0</v>
      </c>
      <c r="AA93" s="191" t="s">
        <v>134</v>
      </c>
      <c r="AB93" s="221" t="s">
        <v>130</v>
      </c>
      <c r="AC93" s="241"/>
      <c r="AD93" s="252"/>
      <c r="AE93" s="183" t="s">
        <v>170</v>
      </c>
      <c r="AG93" s="183" t="str">
        <f t="shared" si="2"/>
        <v xml:space="preserve">[0,x,x,1,0,1,1,0,1,0]-&gt;[1,1,0,x,x,1,1,x,x,0];   </v>
      </c>
    </row>
    <row r="94" spans="1:33" ht="15.75" thickBot="1" x14ac:dyDescent="0.3">
      <c r="A94" s="249"/>
      <c r="B94" s="191"/>
      <c r="C94" s="220" t="s">
        <v>135</v>
      </c>
      <c r="D94" s="298">
        <v>0</v>
      </c>
      <c r="E94" s="233" t="s">
        <v>218</v>
      </c>
      <c r="F94" s="214" t="s">
        <v>218</v>
      </c>
      <c r="G94" s="298">
        <v>1</v>
      </c>
      <c r="H94" s="298">
        <v>0</v>
      </c>
      <c r="I94" s="222">
        <v>1</v>
      </c>
      <c r="J94" s="223">
        <v>1</v>
      </c>
      <c r="K94" s="225">
        <v>0</v>
      </c>
      <c r="L94" s="191">
        <v>1</v>
      </c>
      <c r="M94" s="191">
        <v>1</v>
      </c>
      <c r="N94" s="191" t="s">
        <v>134</v>
      </c>
      <c r="O94" s="211" t="s">
        <v>212</v>
      </c>
      <c r="P94" s="191" t="s">
        <v>135</v>
      </c>
      <c r="Q94" s="191">
        <v>1</v>
      </c>
      <c r="R94" s="191">
        <v>1</v>
      </c>
      <c r="S94" s="191">
        <v>1</v>
      </c>
      <c r="T94" s="233" t="s">
        <v>218</v>
      </c>
      <c r="U94" s="230" t="s">
        <v>218</v>
      </c>
      <c r="V94" s="191">
        <v>1</v>
      </c>
      <c r="W94" s="191">
        <v>1</v>
      </c>
      <c r="X94" s="233" t="s">
        <v>218</v>
      </c>
      <c r="Y94" s="230" t="s">
        <v>218</v>
      </c>
      <c r="Z94" s="191">
        <v>0</v>
      </c>
      <c r="AA94" s="191" t="s">
        <v>134</v>
      </c>
      <c r="AB94" s="221" t="s">
        <v>130</v>
      </c>
      <c r="AC94" s="241"/>
      <c r="AD94" s="253"/>
      <c r="AG94" s="183" t="str">
        <f t="shared" si="2"/>
        <v xml:space="preserve">[0,x,x,1,0,1,1,0,1,1]-&gt;[1,1,1,x,x,1,1,x,x,0];   </v>
      </c>
    </row>
    <row r="95" spans="1:33" x14ac:dyDescent="0.25">
      <c r="A95" s="249"/>
      <c r="B95" s="191"/>
      <c r="C95" s="220" t="s">
        <v>135</v>
      </c>
      <c r="D95" s="298">
        <v>0</v>
      </c>
      <c r="E95" s="233" t="s">
        <v>218</v>
      </c>
      <c r="F95" s="214" t="s">
        <v>218</v>
      </c>
      <c r="G95" s="298">
        <v>1</v>
      </c>
      <c r="H95" s="298">
        <v>0</v>
      </c>
      <c r="I95" s="216">
        <v>1</v>
      </c>
      <c r="J95" s="217">
        <v>1</v>
      </c>
      <c r="K95" s="219">
        <v>1</v>
      </c>
      <c r="L95" s="191">
        <v>0</v>
      </c>
      <c r="M95" s="191">
        <v>0</v>
      </c>
      <c r="N95" s="191" t="s">
        <v>134</v>
      </c>
      <c r="O95" s="211" t="s">
        <v>212</v>
      </c>
      <c r="P95" s="191" t="s">
        <v>135</v>
      </c>
      <c r="Q95" s="220">
        <v>1</v>
      </c>
      <c r="R95" s="191">
        <v>0</v>
      </c>
      <c r="S95" s="221">
        <v>0</v>
      </c>
      <c r="T95" s="233" t="s">
        <v>218</v>
      </c>
      <c r="U95" s="230" t="s">
        <v>218</v>
      </c>
      <c r="V95" s="191">
        <v>1</v>
      </c>
      <c r="W95" s="191">
        <v>1</v>
      </c>
      <c r="X95" s="233" t="s">
        <v>218</v>
      </c>
      <c r="Y95" s="230" t="s">
        <v>218</v>
      </c>
      <c r="Z95" s="191">
        <v>0</v>
      </c>
      <c r="AA95" s="191" t="s">
        <v>134</v>
      </c>
      <c r="AB95" s="221" t="s">
        <v>130</v>
      </c>
      <c r="AC95" s="241" t="s">
        <v>216</v>
      </c>
      <c r="AD95" s="277" t="s">
        <v>215</v>
      </c>
      <c r="AE95" s="183" t="s">
        <v>168</v>
      </c>
      <c r="AG95" s="183" t="str">
        <f t="shared" si="2"/>
        <v>[0,x,x,1,0,1,1,1,0,0]-&gt;[1,0,0,x,x,1,1,x,x,0];   "High-Rom auf dem Board</v>
      </c>
    </row>
    <row r="96" spans="1:33" x14ac:dyDescent="0.25">
      <c r="A96" s="249"/>
      <c r="B96" s="191"/>
      <c r="C96" s="220" t="s">
        <v>135</v>
      </c>
      <c r="D96" s="298">
        <v>0</v>
      </c>
      <c r="E96" s="233" t="s">
        <v>218</v>
      </c>
      <c r="F96" s="214" t="s">
        <v>218</v>
      </c>
      <c r="G96" s="298">
        <v>1</v>
      </c>
      <c r="H96" s="298">
        <v>0</v>
      </c>
      <c r="I96" s="220">
        <v>1</v>
      </c>
      <c r="J96" s="191">
        <v>1</v>
      </c>
      <c r="K96" s="221">
        <v>1</v>
      </c>
      <c r="L96" s="191">
        <v>0</v>
      </c>
      <c r="M96" s="191">
        <v>1</v>
      </c>
      <c r="N96" s="191" t="s">
        <v>134</v>
      </c>
      <c r="O96" s="211" t="s">
        <v>212</v>
      </c>
      <c r="P96" s="191" t="s">
        <v>135</v>
      </c>
      <c r="Q96" s="220">
        <v>1</v>
      </c>
      <c r="R96" s="191">
        <v>0</v>
      </c>
      <c r="S96" s="221">
        <v>1</v>
      </c>
      <c r="T96" s="233" t="s">
        <v>218</v>
      </c>
      <c r="U96" s="230" t="s">
        <v>218</v>
      </c>
      <c r="V96" s="191">
        <v>1</v>
      </c>
      <c r="W96" s="191">
        <v>1</v>
      </c>
      <c r="X96" s="233" t="s">
        <v>218</v>
      </c>
      <c r="Y96" s="230" t="s">
        <v>218</v>
      </c>
      <c r="Z96" s="191">
        <v>0</v>
      </c>
      <c r="AA96" s="191" t="s">
        <v>134</v>
      </c>
      <c r="AB96" s="221" t="s">
        <v>130</v>
      </c>
      <c r="AD96" s="252"/>
      <c r="AG96" s="183" t="str">
        <f t="shared" si="2"/>
        <v xml:space="preserve">[0,x,x,1,0,1,1,1,0,1]-&gt;[1,0,1,x,x,1,1,x,x,0];   </v>
      </c>
    </row>
    <row r="97" spans="1:33" x14ac:dyDescent="0.25">
      <c r="A97" s="249"/>
      <c r="B97" s="191"/>
      <c r="C97" s="220" t="s">
        <v>135</v>
      </c>
      <c r="D97" s="298">
        <v>0</v>
      </c>
      <c r="E97" s="233" t="s">
        <v>218</v>
      </c>
      <c r="F97" s="214" t="s">
        <v>218</v>
      </c>
      <c r="G97" s="298">
        <v>1</v>
      </c>
      <c r="H97" s="298">
        <v>0</v>
      </c>
      <c r="I97" s="220">
        <v>1</v>
      </c>
      <c r="J97" s="191">
        <v>1</v>
      </c>
      <c r="K97" s="221">
        <v>1</v>
      </c>
      <c r="L97" s="191">
        <v>1</v>
      </c>
      <c r="M97" s="191">
        <v>0</v>
      </c>
      <c r="N97" s="191" t="s">
        <v>134</v>
      </c>
      <c r="O97" s="211" t="s">
        <v>212</v>
      </c>
      <c r="P97" s="191" t="s">
        <v>135</v>
      </c>
      <c r="Q97" s="220">
        <v>1</v>
      </c>
      <c r="R97" s="191">
        <v>1</v>
      </c>
      <c r="S97" s="221">
        <v>0</v>
      </c>
      <c r="T97" s="233" t="s">
        <v>218</v>
      </c>
      <c r="U97" s="230" t="s">
        <v>218</v>
      </c>
      <c r="V97" s="191">
        <v>1</v>
      </c>
      <c r="W97" s="191">
        <v>1</v>
      </c>
      <c r="X97" s="233" t="s">
        <v>218</v>
      </c>
      <c r="Y97" s="230" t="s">
        <v>218</v>
      </c>
      <c r="Z97" s="191">
        <v>0</v>
      </c>
      <c r="AA97" s="191" t="s">
        <v>134</v>
      </c>
      <c r="AB97" s="221" t="s">
        <v>130</v>
      </c>
      <c r="AC97" s="241"/>
      <c r="AD97" s="252"/>
      <c r="AE97" s="183" t="s">
        <v>166</v>
      </c>
      <c r="AG97" s="183" t="str">
        <f t="shared" si="2"/>
        <v xml:space="preserve">[0,x,x,1,0,1,1,1,1,0]-&gt;[1,1,0,x,x,1,1,x,x,0];   </v>
      </c>
    </row>
    <row r="98" spans="1:33" ht="15.75" thickBot="1" x14ac:dyDescent="0.3">
      <c r="A98" s="249"/>
      <c r="B98" s="191"/>
      <c r="C98" s="220" t="s">
        <v>135</v>
      </c>
      <c r="D98" s="299">
        <v>0</v>
      </c>
      <c r="E98" s="234" t="s">
        <v>218</v>
      </c>
      <c r="F98" s="229" t="s">
        <v>218</v>
      </c>
      <c r="G98" s="299">
        <v>1</v>
      </c>
      <c r="H98" s="299">
        <v>0</v>
      </c>
      <c r="I98" s="220">
        <v>1</v>
      </c>
      <c r="J98" s="191">
        <v>1</v>
      </c>
      <c r="K98" s="221">
        <v>1</v>
      </c>
      <c r="L98" s="191">
        <v>1</v>
      </c>
      <c r="M98" s="191">
        <v>1</v>
      </c>
      <c r="N98" s="191" t="s">
        <v>134</v>
      </c>
      <c r="O98" s="211" t="s">
        <v>212</v>
      </c>
      <c r="P98" s="191" t="s">
        <v>135</v>
      </c>
      <c r="Q98" s="220">
        <v>1</v>
      </c>
      <c r="R98" s="191">
        <v>1</v>
      </c>
      <c r="S98" s="221">
        <v>1</v>
      </c>
      <c r="T98" s="233" t="s">
        <v>218</v>
      </c>
      <c r="U98" s="230" t="s">
        <v>218</v>
      </c>
      <c r="V98" s="191">
        <v>1</v>
      </c>
      <c r="W98" s="191">
        <v>1</v>
      </c>
      <c r="X98" s="233" t="s">
        <v>218</v>
      </c>
      <c r="Y98" s="230" t="s">
        <v>218</v>
      </c>
      <c r="Z98" s="191">
        <v>0</v>
      </c>
      <c r="AA98" s="191" t="s">
        <v>134</v>
      </c>
      <c r="AB98" s="221" t="s">
        <v>130</v>
      </c>
      <c r="AC98" s="241"/>
      <c r="AD98" s="253"/>
      <c r="AG98" s="183" t="str">
        <f t="shared" si="2"/>
        <v xml:space="preserve">[0,x,x,1,0,1,1,1,1,1]-&gt;[1,1,1,x,x,1,1,x,x,0];   </v>
      </c>
    </row>
    <row r="99" spans="1:33" x14ac:dyDescent="0.25">
      <c r="A99" s="249"/>
      <c r="B99" s="191"/>
      <c r="C99" s="216" t="s">
        <v>135</v>
      </c>
      <c r="D99" s="298">
        <v>1</v>
      </c>
      <c r="E99" s="232" t="s">
        <v>218</v>
      </c>
      <c r="F99" s="228" t="s">
        <v>218</v>
      </c>
      <c r="G99" s="228" t="s">
        <v>218</v>
      </c>
      <c r="H99" s="278" t="s">
        <v>218</v>
      </c>
      <c r="I99" s="217">
        <v>0</v>
      </c>
      <c r="J99" s="217">
        <v>0</v>
      </c>
      <c r="K99" s="217">
        <v>0</v>
      </c>
      <c r="L99" s="217">
        <v>0</v>
      </c>
      <c r="M99" s="217">
        <v>0</v>
      </c>
      <c r="N99" s="217" t="s">
        <v>134</v>
      </c>
      <c r="O99" s="218" t="s">
        <v>212</v>
      </c>
      <c r="P99" s="217" t="s">
        <v>135</v>
      </c>
      <c r="Q99" s="217">
        <v>0</v>
      </c>
      <c r="R99" s="217">
        <v>0</v>
      </c>
      <c r="S99" s="217">
        <v>0</v>
      </c>
      <c r="T99" s="232" t="s">
        <v>218</v>
      </c>
      <c r="U99" s="278" t="s">
        <v>218</v>
      </c>
      <c r="V99" s="217">
        <v>1</v>
      </c>
      <c r="W99" s="217">
        <v>1</v>
      </c>
      <c r="X99" s="232" t="s">
        <v>218</v>
      </c>
      <c r="Y99" s="278" t="s">
        <v>218</v>
      </c>
      <c r="Z99" s="217">
        <v>0</v>
      </c>
      <c r="AA99" s="217" t="s">
        <v>134</v>
      </c>
      <c r="AB99" s="219" t="s">
        <v>130</v>
      </c>
      <c r="AC99" s="242" t="s">
        <v>216</v>
      </c>
      <c r="AD99" s="283" t="s">
        <v>274</v>
      </c>
      <c r="AE99" s="241" t="s">
        <v>208</v>
      </c>
      <c r="AG99" s="183" t="str">
        <f t="shared" ref="AG99:AG130" si="3">C99&amp;D99&amp;","&amp;E99&amp;","&amp;F99&amp;","&amp;G99&amp;","&amp;H99&amp;","&amp;I99&amp;","&amp;J99&amp;","&amp;K99&amp;","&amp;L99&amp;","&amp;M99&amp;N99&amp;O99&amp;P99&amp;Q99&amp;","&amp;R99&amp;","&amp;S99&amp;","&amp;T99&amp;","&amp;U99&amp;","&amp;V99&amp;","&amp;W99&amp;","&amp;X99&amp;","&amp;Y99&amp;","&amp;Z99&amp;AA99&amp;AB99&amp;"   "&amp;AC99&amp;AD99</f>
        <v>[1,x,x,x,x,0,0,0,0,0]-&gt;[0,0,0,x,x,1,1,x,x,0];   "ProfDos aus, RAM onboard, LoRom &amp; HiRom DolphinDos</v>
      </c>
    </row>
    <row r="100" spans="1:33" x14ac:dyDescent="0.25">
      <c r="A100" s="249"/>
      <c r="C100" s="220" t="s">
        <v>135</v>
      </c>
      <c r="D100" s="296" t="s">
        <v>218</v>
      </c>
      <c r="E100" s="233" t="s">
        <v>218</v>
      </c>
      <c r="F100" s="214" t="s">
        <v>218</v>
      </c>
      <c r="G100" s="214" t="s">
        <v>218</v>
      </c>
      <c r="H100" s="230" t="s">
        <v>218</v>
      </c>
      <c r="I100" s="191">
        <v>0</v>
      </c>
      <c r="J100" s="191">
        <v>0</v>
      </c>
      <c r="K100" s="191">
        <v>0</v>
      </c>
      <c r="L100" s="191">
        <v>0</v>
      </c>
      <c r="M100" s="191">
        <v>1</v>
      </c>
      <c r="N100" s="191" t="s">
        <v>134</v>
      </c>
      <c r="O100" s="211" t="s">
        <v>212</v>
      </c>
      <c r="P100" s="191" t="s">
        <v>135</v>
      </c>
      <c r="Q100" s="191">
        <v>0</v>
      </c>
      <c r="R100" s="191">
        <v>0</v>
      </c>
      <c r="S100" s="191">
        <v>1</v>
      </c>
      <c r="T100" s="233" t="s">
        <v>218</v>
      </c>
      <c r="U100" s="230" t="s">
        <v>218</v>
      </c>
      <c r="V100" s="191">
        <v>1</v>
      </c>
      <c r="W100" s="191">
        <v>1</v>
      </c>
      <c r="X100" s="233" t="s">
        <v>218</v>
      </c>
      <c r="Y100" s="230" t="s">
        <v>218</v>
      </c>
      <c r="Z100" s="191">
        <v>0</v>
      </c>
      <c r="AA100" s="191" t="s">
        <v>134</v>
      </c>
      <c r="AB100" s="221" t="s">
        <v>130</v>
      </c>
      <c r="AC100" s="242" t="s">
        <v>216</v>
      </c>
      <c r="AD100" s="284" t="s">
        <v>276</v>
      </c>
      <c r="AG100" s="183" t="str">
        <f t="shared" si="3"/>
        <v>[x,x,x,x,x,0,0,0,0,1]-&gt;[0,0,1,x,x,1,1,x,x,0];   "DolphinDos</v>
      </c>
    </row>
    <row r="101" spans="1:33" x14ac:dyDescent="0.25">
      <c r="A101" s="249"/>
      <c r="C101" s="220" t="s">
        <v>135</v>
      </c>
      <c r="D101" s="296" t="s">
        <v>218</v>
      </c>
      <c r="E101" s="233" t="s">
        <v>218</v>
      </c>
      <c r="F101" s="214" t="s">
        <v>218</v>
      </c>
      <c r="G101" s="214" t="s">
        <v>218</v>
      </c>
      <c r="H101" s="230" t="s">
        <v>218</v>
      </c>
      <c r="I101" s="191">
        <v>0</v>
      </c>
      <c r="J101" s="191">
        <v>0</v>
      </c>
      <c r="K101" s="191">
        <v>0</v>
      </c>
      <c r="L101" s="191">
        <v>1</v>
      </c>
      <c r="M101" s="191">
        <v>0</v>
      </c>
      <c r="N101" s="191" t="s">
        <v>134</v>
      </c>
      <c r="O101" s="211" t="s">
        <v>212</v>
      </c>
      <c r="P101" s="191" t="s">
        <v>135</v>
      </c>
      <c r="Q101" s="191">
        <v>0</v>
      </c>
      <c r="R101" s="191">
        <v>1</v>
      </c>
      <c r="S101" s="191">
        <v>0</v>
      </c>
      <c r="T101" s="233" t="s">
        <v>218</v>
      </c>
      <c r="U101" s="230" t="s">
        <v>218</v>
      </c>
      <c r="V101" s="191">
        <v>1</v>
      </c>
      <c r="W101" s="191">
        <v>1</v>
      </c>
      <c r="X101" s="233" t="s">
        <v>218</v>
      </c>
      <c r="Y101" s="230" t="s">
        <v>218</v>
      </c>
      <c r="Z101" s="191">
        <v>0</v>
      </c>
      <c r="AA101" s="191" t="s">
        <v>134</v>
      </c>
      <c r="AB101" s="221" t="s">
        <v>130</v>
      </c>
      <c r="AE101" s="183" t="s">
        <v>206</v>
      </c>
      <c r="AG101" s="183" t="str">
        <f t="shared" si="3"/>
        <v xml:space="preserve">[x,x,x,x,x,0,0,0,1,0]-&gt;[0,1,0,x,x,1,1,x,x,0];   </v>
      </c>
    </row>
    <row r="102" spans="1:33" x14ac:dyDescent="0.25">
      <c r="A102" s="249"/>
      <c r="C102" s="220" t="s">
        <v>135</v>
      </c>
      <c r="D102" s="296" t="s">
        <v>218</v>
      </c>
      <c r="E102" s="233" t="s">
        <v>218</v>
      </c>
      <c r="F102" s="214" t="s">
        <v>218</v>
      </c>
      <c r="G102" s="214" t="s">
        <v>218</v>
      </c>
      <c r="H102" s="230" t="s">
        <v>218</v>
      </c>
      <c r="I102" s="191">
        <v>0</v>
      </c>
      <c r="J102" s="191">
        <v>0</v>
      </c>
      <c r="K102" s="191">
        <v>0</v>
      </c>
      <c r="L102" s="191">
        <v>1</v>
      </c>
      <c r="M102" s="191">
        <v>1</v>
      </c>
      <c r="N102" s="191" t="s">
        <v>134</v>
      </c>
      <c r="O102" s="211" t="s">
        <v>212</v>
      </c>
      <c r="P102" s="191" t="s">
        <v>135</v>
      </c>
      <c r="Q102" s="191">
        <v>0</v>
      </c>
      <c r="R102" s="191">
        <v>1</v>
      </c>
      <c r="S102" s="191">
        <v>1</v>
      </c>
      <c r="T102" s="233" t="s">
        <v>218</v>
      </c>
      <c r="U102" s="230" t="s">
        <v>218</v>
      </c>
      <c r="V102" s="191">
        <v>1</v>
      </c>
      <c r="W102" s="191">
        <v>1</v>
      </c>
      <c r="X102" s="233" t="s">
        <v>218</v>
      </c>
      <c r="Y102" s="230" t="s">
        <v>218</v>
      </c>
      <c r="Z102" s="191">
        <v>0</v>
      </c>
      <c r="AA102" s="191" t="s">
        <v>134</v>
      </c>
      <c r="AB102" s="221" t="s">
        <v>130</v>
      </c>
      <c r="AG102" s="183" t="str">
        <f t="shared" si="3"/>
        <v xml:space="preserve">[x,x,x,x,x,0,0,0,1,1]-&gt;[0,1,1,x,x,1,1,x,x,0];   </v>
      </c>
    </row>
    <row r="103" spans="1:33" x14ac:dyDescent="0.25">
      <c r="A103" s="249"/>
      <c r="C103" s="220" t="s">
        <v>135</v>
      </c>
      <c r="D103" s="296" t="s">
        <v>218</v>
      </c>
      <c r="E103" s="233" t="s">
        <v>218</v>
      </c>
      <c r="F103" s="214" t="s">
        <v>218</v>
      </c>
      <c r="G103" s="214" t="s">
        <v>218</v>
      </c>
      <c r="H103" s="230" t="s">
        <v>218</v>
      </c>
      <c r="I103" s="191">
        <v>0</v>
      </c>
      <c r="J103" s="191">
        <v>0</v>
      </c>
      <c r="K103" s="191">
        <v>1</v>
      </c>
      <c r="L103" s="191">
        <v>0</v>
      </c>
      <c r="M103" s="191">
        <v>0</v>
      </c>
      <c r="N103" s="191" t="s">
        <v>134</v>
      </c>
      <c r="O103" s="211" t="s">
        <v>212</v>
      </c>
      <c r="P103" s="191" t="s">
        <v>135</v>
      </c>
      <c r="Q103" s="191">
        <v>0</v>
      </c>
      <c r="R103" s="191">
        <v>0</v>
      </c>
      <c r="S103" s="191">
        <v>0</v>
      </c>
      <c r="T103" s="233" t="s">
        <v>218</v>
      </c>
      <c r="U103" s="230" t="s">
        <v>218</v>
      </c>
      <c r="V103" s="191">
        <v>1</v>
      </c>
      <c r="W103" s="191">
        <v>1</v>
      </c>
      <c r="X103" s="233" t="s">
        <v>218</v>
      </c>
      <c r="Y103" s="230" t="s">
        <v>218</v>
      </c>
      <c r="Z103" s="191">
        <v>0</v>
      </c>
      <c r="AA103" s="191" t="s">
        <v>134</v>
      </c>
      <c r="AB103" s="221" t="s">
        <v>130</v>
      </c>
      <c r="AE103" s="183" t="s">
        <v>201</v>
      </c>
      <c r="AG103" s="183" t="str">
        <f t="shared" si="3"/>
        <v xml:space="preserve">[x,x,x,x,x,0,0,1,0,0]-&gt;[0,0,0,x,x,1,1,x,x,0];   </v>
      </c>
    </row>
    <row r="104" spans="1:33" x14ac:dyDescent="0.25">
      <c r="A104" s="249"/>
      <c r="C104" s="220" t="s">
        <v>135</v>
      </c>
      <c r="D104" s="296" t="s">
        <v>218</v>
      </c>
      <c r="E104" s="233" t="s">
        <v>218</v>
      </c>
      <c r="F104" s="214" t="s">
        <v>218</v>
      </c>
      <c r="G104" s="214" t="s">
        <v>218</v>
      </c>
      <c r="H104" s="230" t="s">
        <v>218</v>
      </c>
      <c r="I104" s="191">
        <v>0</v>
      </c>
      <c r="J104" s="191">
        <v>0</v>
      </c>
      <c r="K104" s="191">
        <v>1</v>
      </c>
      <c r="L104" s="191">
        <v>0</v>
      </c>
      <c r="M104" s="191">
        <v>1</v>
      </c>
      <c r="N104" s="191" t="s">
        <v>134</v>
      </c>
      <c r="O104" s="211" t="s">
        <v>212</v>
      </c>
      <c r="P104" s="191" t="s">
        <v>135</v>
      </c>
      <c r="Q104" s="191">
        <v>0</v>
      </c>
      <c r="R104" s="191">
        <v>0</v>
      </c>
      <c r="S104" s="191">
        <v>1</v>
      </c>
      <c r="T104" s="233" t="s">
        <v>218</v>
      </c>
      <c r="U104" s="230" t="s">
        <v>218</v>
      </c>
      <c r="V104" s="191">
        <v>1</v>
      </c>
      <c r="W104" s="191">
        <v>1</v>
      </c>
      <c r="X104" s="233" t="s">
        <v>218</v>
      </c>
      <c r="Y104" s="230" t="s">
        <v>218</v>
      </c>
      <c r="Z104" s="191">
        <v>0</v>
      </c>
      <c r="AA104" s="191" t="s">
        <v>134</v>
      </c>
      <c r="AB104" s="221" t="s">
        <v>130</v>
      </c>
      <c r="AG104" s="183" t="str">
        <f t="shared" si="3"/>
        <v xml:space="preserve">[x,x,x,x,x,0,0,1,0,1]-&gt;[0,0,1,x,x,1,1,x,x,0];   </v>
      </c>
    </row>
    <row r="105" spans="1:33" x14ac:dyDescent="0.25">
      <c r="A105" s="249"/>
      <c r="C105" s="220" t="s">
        <v>135</v>
      </c>
      <c r="D105" s="296" t="s">
        <v>218</v>
      </c>
      <c r="E105" s="233" t="s">
        <v>218</v>
      </c>
      <c r="F105" s="214" t="s">
        <v>218</v>
      </c>
      <c r="G105" s="214" t="s">
        <v>218</v>
      </c>
      <c r="H105" s="230" t="s">
        <v>218</v>
      </c>
      <c r="I105" s="191">
        <v>0</v>
      </c>
      <c r="J105" s="191">
        <v>0</v>
      </c>
      <c r="K105" s="191">
        <v>1</v>
      </c>
      <c r="L105" s="191">
        <v>1</v>
      </c>
      <c r="M105" s="191">
        <v>0</v>
      </c>
      <c r="N105" s="191" t="s">
        <v>134</v>
      </c>
      <c r="O105" s="211" t="s">
        <v>212</v>
      </c>
      <c r="P105" s="191" t="s">
        <v>135</v>
      </c>
      <c r="Q105" s="191">
        <v>0</v>
      </c>
      <c r="R105" s="191">
        <v>1</v>
      </c>
      <c r="S105" s="191">
        <v>0</v>
      </c>
      <c r="T105" s="233" t="s">
        <v>218</v>
      </c>
      <c r="U105" s="230" t="s">
        <v>218</v>
      </c>
      <c r="V105" s="191">
        <v>1</v>
      </c>
      <c r="W105" s="191">
        <v>1</v>
      </c>
      <c r="X105" s="233" t="s">
        <v>218</v>
      </c>
      <c r="Y105" s="230" t="s">
        <v>218</v>
      </c>
      <c r="Z105" s="191">
        <v>0</v>
      </c>
      <c r="AA105" s="191" t="s">
        <v>134</v>
      </c>
      <c r="AB105" s="221" t="s">
        <v>130</v>
      </c>
      <c r="AE105" s="183" t="s">
        <v>199</v>
      </c>
      <c r="AG105" s="183" t="str">
        <f t="shared" si="3"/>
        <v xml:space="preserve">[x,x,x,x,x,0,0,1,1,0]-&gt;[0,1,0,x,x,1,1,x,x,0];   </v>
      </c>
    </row>
    <row r="106" spans="1:33" ht="15.75" thickBot="1" x14ac:dyDescent="0.3">
      <c r="A106" s="249"/>
      <c r="C106" s="220" t="s">
        <v>135</v>
      </c>
      <c r="D106" s="296" t="s">
        <v>218</v>
      </c>
      <c r="E106" s="233" t="s">
        <v>218</v>
      </c>
      <c r="F106" s="214" t="s">
        <v>218</v>
      </c>
      <c r="G106" s="214" t="s">
        <v>218</v>
      </c>
      <c r="H106" s="230" t="s">
        <v>218</v>
      </c>
      <c r="I106" s="191">
        <v>0</v>
      </c>
      <c r="J106" s="191">
        <v>0</v>
      </c>
      <c r="K106" s="191">
        <v>1</v>
      </c>
      <c r="L106" s="191">
        <v>1</v>
      </c>
      <c r="M106" s="191">
        <v>1</v>
      </c>
      <c r="N106" s="191" t="s">
        <v>134</v>
      </c>
      <c r="O106" s="211" t="s">
        <v>212</v>
      </c>
      <c r="P106" s="191" t="s">
        <v>135</v>
      </c>
      <c r="Q106" s="191">
        <v>0</v>
      </c>
      <c r="R106" s="191">
        <v>1</v>
      </c>
      <c r="S106" s="191">
        <v>1</v>
      </c>
      <c r="T106" s="233" t="s">
        <v>218</v>
      </c>
      <c r="U106" s="230" t="s">
        <v>218</v>
      </c>
      <c r="V106" s="191">
        <v>1</v>
      </c>
      <c r="W106" s="191">
        <v>1</v>
      </c>
      <c r="X106" s="233" t="s">
        <v>218</v>
      </c>
      <c r="Y106" s="230" t="s">
        <v>218</v>
      </c>
      <c r="Z106" s="191">
        <v>0</v>
      </c>
      <c r="AA106" s="191" t="s">
        <v>134</v>
      </c>
      <c r="AB106" s="221" t="s">
        <v>130</v>
      </c>
      <c r="AG106" s="183" t="str">
        <f t="shared" si="3"/>
        <v xml:space="preserve">[x,x,x,x,x,0,0,1,1,1]-&gt;[0,1,1,x,x,1,1,x,x,0];   </v>
      </c>
    </row>
    <row r="107" spans="1:33" x14ac:dyDescent="0.25">
      <c r="A107" s="249"/>
      <c r="C107" s="220" t="s">
        <v>135</v>
      </c>
      <c r="D107" s="297">
        <v>1</v>
      </c>
      <c r="E107" s="233" t="s">
        <v>218</v>
      </c>
      <c r="F107" s="214" t="s">
        <v>218</v>
      </c>
      <c r="G107" s="214" t="s">
        <v>218</v>
      </c>
      <c r="H107" s="230" t="s">
        <v>218</v>
      </c>
      <c r="I107" s="217">
        <v>0</v>
      </c>
      <c r="J107" s="217">
        <v>1</v>
      </c>
      <c r="K107" s="219">
        <v>0</v>
      </c>
      <c r="L107" s="191">
        <v>0</v>
      </c>
      <c r="M107" s="191">
        <v>0</v>
      </c>
      <c r="N107" s="191" t="s">
        <v>134</v>
      </c>
      <c r="O107" s="211" t="s">
        <v>212</v>
      </c>
      <c r="P107" s="191" t="s">
        <v>135</v>
      </c>
      <c r="Q107" s="191">
        <v>0</v>
      </c>
      <c r="R107" s="191">
        <v>0</v>
      </c>
      <c r="S107" s="191">
        <v>0</v>
      </c>
      <c r="T107" s="233" t="s">
        <v>218</v>
      </c>
      <c r="U107" s="230" t="s">
        <v>218</v>
      </c>
      <c r="V107" s="191">
        <v>1</v>
      </c>
      <c r="W107" s="191">
        <v>1</v>
      </c>
      <c r="X107" s="233" t="s">
        <v>218</v>
      </c>
      <c r="Y107" s="230" t="s">
        <v>218</v>
      </c>
      <c r="Z107" s="191">
        <v>0</v>
      </c>
      <c r="AA107" s="191" t="s">
        <v>134</v>
      </c>
      <c r="AB107" s="221" t="s">
        <v>130</v>
      </c>
      <c r="AE107" s="183" t="s">
        <v>196</v>
      </c>
      <c r="AG107" s="183" t="str">
        <f t="shared" si="3"/>
        <v xml:space="preserve">[1,x,x,x,x,0,1,0,0,0]-&gt;[0,0,0,x,x,1,1,x,x,0];   </v>
      </c>
    </row>
    <row r="108" spans="1:33" x14ac:dyDescent="0.25">
      <c r="A108" s="249"/>
      <c r="C108" s="220" t="s">
        <v>135</v>
      </c>
      <c r="D108" s="298">
        <v>1</v>
      </c>
      <c r="E108" s="233" t="s">
        <v>218</v>
      </c>
      <c r="F108" s="214" t="s">
        <v>218</v>
      </c>
      <c r="G108" s="214" t="s">
        <v>218</v>
      </c>
      <c r="H108" s="230" t="s">
        <v>218</v>
      </c>
      <c r="I108" s="191">
        <v>0</v>
      </c>
      <c r="J108" s="191">
        <v>1</v>
      </c>
      <c r="K108" s="221">
        <v>0</v>
      </c>
      <c r="L108" s="191">
        <v>0</v>
      </c>
      <c r="M108" s="191">
        <v>1</v>
      </c>
      <c r="N108" s="191" t="s">
        <v>134</v>
      </c>
      <c r="O108" s="211" t="s">
        <v>212</v>
      </c>
      <c r="P108" s="191" t="s">
        <v>135</v>
      </c>
      <c r="Q108" s="191">
        <v>0</v>
      </c>
      <c r="R108" s="191">
        <v>0</v>
      </c>
      <c r="S108" s="191">
        <v>1</v>
      </c>
      <c r="T108" s="233" t="s">
        <v>218</v>
      </c>
      <c r="U108" s="230" t="s">
        <v>218</v>
      </c>
      <c r="V108" s="191">
        <v>1</v>
      </c>
      <c r="W108" s="191">
        <v>1</v>
      </c>
      <c r="X108" s="233" t="s">
        <v>218</v>
      </c>
      <c r="Y108" s="230" t="s">
        <v>218</v>
      </c>
      <c r="Z108" s="191">
        <v>0</v>
      </c>
      <c r="AA108" s="191" t="s">
        <v>134</v>
      </c>
      <c r="AB108" s="221" t="s">
        <v>130</v>
      </c>
      <c r="AG108" s="183" t="str">
        <f t="shared" si="3"/>
        <v xml:space="preserve">[1,x,x,x,x,0,1,0,0,1]-&gt;[0,0,1,x,x,1,1,x,x,0];   </v>
      </c>
    </row>
    <row r="109" spans="1:33" x14ac:dyDescent="0.25">
      <c r="A109" s="249"/>
      <c r="C109" s="220" t="s">
        <v>135</v>
      </c>
      <c r="D109" s="298">
        <v>1</v>
      </c>
      <c r="E109" s="233" t="s">
        <v>218</v>
      </c>
      <c r="F109" s="214" t="s">
        <v>218</v>
      </c>
      <c r="G109" s="214" t="s">
        <v>218</v>
      </c>
      <c r="H109" s="230" t="s">
        <v>218</v>
      </c>
      <c r="I109" s="191">
        <v>0</v>
      </c>
      <c r="J109" s="191">
        <v>1</v>
      </c>
      <c r="K109" s="221">
        <v>0</v>
      </c>
      <c r="L109" s="191">
        <v>1</v>
      </c>
      <c r="M109" s="191">
        <v>0</v>
      </c>
      <c r="N109" s="191" t="s">
        <v>134</v>
      </c>
      <c r="O109" s="211" t="s">
        <v>212</v>
      </c>
      <c r="P109" s="191" t="s">
        <v>135</v>
      </c>
      <c r="Q109" s="191">
        <v>0</v>
      </c>
      <c r="R109" s="191">
        <v>1</v>
      </c>
      <c r="S109" s="191">
        <v>0</v>
      </c>
      <c r="T109" s="233" t="s">
        <v>218</v>
      </c>
      <c r="U109" s="230" t="s">
        <v>218</v>
      </c>
      <c r="V109" s="191">
        <v>1</v>
      </c>
      <c r="W109" s="191">
        <v>1</v>
      </c>
      <c r="X109" s="233" t="s">
        <v>218</v>
      </c>
      <c r="Y109" s="230" t="s">
        <v>218</v>
      </c>
      <c r="Z109" s="191">
        <v>0</v>
      </c>
      <c r="AA109" s="191" t="s">
        <v>134</v>
      </c>
      <c r="AB109" s="221" t="s">
        <v>130</v>
      </c>
      <c r="AE109" s="183" t="s">
        <v>194</v>
      </c>
      <c r="AG109" s="183" t="str">
        <f t="shared" si="3"/>
        <v xml:space="preserve">[1,x,x,x,x,0,1,0,1,0]-&gt;[0,1,0,x,x,1,1,x,x,0];   </v>
      </c>
    </row>
    <row r="110" spans="1:33" x14ac:dyDescent="0.25">
      <c r="A110" s="249"/>
      <c r="C110" s="220" t="s">
        <v>135</v>
      </c>
      <c r="D110" s="298">
        <v>1</v>
      </c>
      <c r="E110" s="233" t="s">
        <v>218</v>
      </c>
      <c r="F110" s="214" t="s">
        <v>218</v>
      </c>
      <c r="G110" s="214" t="s">
        <v>218</v>
      </c>
      <c r="H110" s="230" t="s">
        <v>218</v>
      </c>
      <c r="I110" s="191">
        <v>0</v>
      </c>
      <c r="J110" s="191">
        <v>1</v>
      </c>
      <c r="K110" s="221">
        <v>0</v>
      </c>
      <c r="L110" s="191">
        <v>1</v>
      </c>
      <c r="M110" s="191">
        <v>1</v>
      </c>
      <c r="N110" s="191" t="s">
        <v>134</v>
      </c>
      <c r="O110" s="211" t="s">
        <v>212</v>
      </c>
      <c r="P110" s="191" t="s">
        <v>135</v>
      </c>
      <c r="Q110" s="191">
        <v>0</v>
      </c>
      <c r="R110" s="191">
        <v>1</v>
      </c>
      <c r="S110" s="191">
        <v>1</v>
      </c>
      <c r="T110" s="233" t="s">
        <v>218</v>
      </c>
      <c r="U110" s="230" t="s">
        <v>218</v>
      </c>
      <c r="V110" s="191">
        <v>1</v>
      </c>
      <c r="W110" s="191">
        <v>1</v>
      </c>
      <c r="X110" s="233" t="s">
        <v>218</v>
      </c>
      <c r="Y110" s="230" t="s">
        <v>218</v>
      </c>
      <c r="Z110" s="191">
        <v>0</v>
      </c>
      <c r="AA110" s="191" t="s">
        <v>134</v>
      </c>
      <c r="AB110" s="221" t="s">
        <v>130</v>
      </c>
      <c r="AG110" s="183" t="str">
        <f t="shared" si="3"/>
        <v xml:space="preserve">[1,x,x,x,x,0,1,0,1,1]-&gt;[0,1,1,x,x,1,1,x,x,0];   </v>
      </c>
    </row>
    <row r="111" spans="1:33" x14ac:dyDescent="0.25">
      <c r="A111" s="249"/>
      <c r="C111" s="220" t="s">
        <v>135</v>
      </c>
      <c r="D111" s="298">
        <v>1</v>
      </c>
      <c r="E111" s="233" t="s">
        <v>218</v>
      </c>
      <c r="F111" s="214" t="s">
        <v>218</v>
      </c>
      <c r="G111" s="214" t="s">
        <v>218</v>
      </c>
      <c r="H111" s="230" t="s">
        <v>218</v>
      </c>
      <c r="I111" s="191">
        <v>0</v>
      </c>
      <c r="J111" s="191">
        <v>1</v>
      </c>
      <c r="K111" s="221">
        <v>1</v>
      </c>
      <c r="L111" s="191">
        <v>0</v>
      </c>
      <c r="M111" s="191">
        <v>0</v>
      </c>
      <c r="N111" s="191" t="s">
        <v>134</v>
      </c>
      <c r="O111" s="211" t="s">
        <v>212</v>
      </c>
      <c r="P111" s="191" t="s">
        <v>135</v>
      </c>
      <c r="Q111" s="191">
        <v>0</v>
      </c>
      <c r="R111" s="191">
        <v>0</v>
      </c>
      <c r="S111" s="191">
        <v>0</v>
      </c>
      <c r="T111" s="233" t="s">
        <v>218</v>
      </c>
      <c r="U111" s="230" t="s">
        <v>218</v>
      </c>
      <c r="V111" s="191">
        <v>1</v>
      </c>
      <c r="W111" s="191">
        <v>1</v>
      </c>
      <c r="X111" s="233" t="s">
        <v>218</v>
      </c>
      <c r="Y111" s="230" t="s">
        <v>218</v>
      </c>
      <c r="Z111" s="191">
        <v>0</v>
      </c>
      <c r="AA111" s="191" t="s">
        <v>134</v>
      </c>
      <c r="AB111" s="221" t="s">
        <v>130</v>
      </c>
      <c r="AE111" s="183" t="s">
        <v>191</v>
      </c>
      <c r="AG111" s="183" t="str">
        <f>C111&amp;D111&amp;","&amp;E111&amp;","&amp;F111&amp;","&amp;G111&amp;","&amp;H111&amp;","&amp;I111&amp;","&amp;J111&amp;","&amp;K111&amp;","&amp;L111&amp;","&amp;M111&amp;N111&amp;O111&amp;P111&amp;Q111&amp;","&amp;R111&amp;","&amp;S111&amp;","&amp;T111&amp;","&amp;U111&amp;","&amp;V111&amp;","&amp;W111&amp;","&amp;X111&amp;","&amp;Y111&amp;","&amp;Z111&amp;AA111&amp;AB111&amp;"   "&amp;AC111&amp;AD111</f>
        <v xml:space="preserve">[1,x,x,x,x,0,1,1,0,0]-&gt;[0,0,0,x,x,1,1,x,x,0];   </v>
      </c>
    </row>
    <row r="112" spans="1:33" x14ac:dyDescent="0.25">
      <c r="A112" s="249"/>
      <c r="C112" s="220" t="s">
        <v>135</v>
      </c>
      <c r="D112" s="298">
        <v>1</v>
      </c>
      <c r="E112" s="233" t="s">
        <v>218</v>
      </c>
      <c r="F112" s="214" t="s">
        <v>218</v>
      </c>
      <c r="G112" s="214" t="s">
        <v>218</v>
      </c>
      <c r="H112" s="230" t="s">
        <v>218</v>
      </c>
      <c r="I112" s="191">
        <v>0</v>
      </c>
      <c r="J112" s="191">
        <v>1</v>
      </c>
      <c r="K112" s="221">
        <v>1</v>
      </c>
      <c r="L112" s="191">
        <v>0</v>
      </c>
      <c r="M112" s="191">
        <v>1</v>
      </c>
      <c r="N112" s="191" t="s">
        <v>134</v>
      </c>
      <c r="O112" s="211" t="s">
        <v>212</v>
      </c>
      <c r="P112" s="191" t="s">
        <v>135</v>
      </c>
      <c r="Q112" s="191">
        <v>0</v>
      </c>
      <c r="R112" s="191">
        <v>0</v>
      </c>
      <c r="S112" s="191">
        <v>1</v>
      </c>
      <c r="T112" s="233" t="s">
        <v>218</v>
      </c>
      <c r="U112" s="230" t="s">
        <v>218</v>
      </c>
      <c r="V112" s="191">
        <v>1</v>
      </c>
      <c r="W112" s="191">
        <v>1</v>
      </c>
      <c r="X112" s="233" t="s">
        <v>218</v>
      </c>
      <c r="Y112" s="230" t="s">
        <v>218</v>
      </c>
      <c r="Z112" s="191">
        <v>0</v>
      </c>
      <c r="AA112" s="191" t="s">
        <v>134</v>
      </c>
      <c r="AB112" s="221" t="s">
        <v>130</v>
      </c>
      <c r="AG112" s="183" t="str">
        <f t="shared" si="3"/>
        <v xml:space="preserve">[1,x,x,x,x,0,1,1,0,1]-&gt;[0,0,1,x,x,1,1,x,x,0];   </v>
      </c>
    </row>
    <row r="113" spans="1:33" x14ac:dyDescent="0.25">
      <c r="A113" s="249"/>
      <c r="C113" s="220" t="s">
        <v>135</v>
      </c>
      <c r="D113" s="298">
        <v>1</v>
      </c>
      <c r="E113" s="233" t="s">
        <v>218</v>
      </c>
      <c r="F113" s="214" t="s">
        <v>218</v>
      </c>
      <c r="G113" s="214" t="s">
        <v>218</v>
      </c>
      <c r="H113" s="230" t="s">
        <v>218</v>
      </c>
      <c r="I113" s="191">
        <v>0</v>
      </c>
      <c r="J113" s="191">
        <v>1</v>
      </c>
      <c r="K113" s="221">
        <v>1</v>
      </c>
      <c r="L113" s="191">
        <v>1</v>
      </c>
      <c r="M113" s="191">
        <v>0</v>
      </c>
      <c r="N113" s="191" t="s">
        <v>134</v>
      </c>
      <c r="O113" s="211" t="s">
        <v>212</v>
      </c>
      <c r="P113" s="191" t="s">
        <v>135</v>
      </c>
      <c r="Q113" s="191">
        <v>0</v>
      </c>
      <c r="R113" s="191">
        <v>1</v>
      </c>
      <c r="S113" s="191">
        <v>0</v>
      </c>
      <c r="T113" s="233" t="s">
        <v>218</v>
      </c>
      <c r="U113" s="230" t="s">
        <v>218</v>
      </c>
      <c r="V113" s="191">
        <v>1</v>
      </c>
      <c r="W113" s="191">
        <v>1</v>
      </c>
      <c r="X113" s="233" t="s">
        <v>218</v>
      </c>
      <c r="Y113" s="230" t="s">
        <v>218</v>
      </c>
      <c r="Z113" s="191">
        <v>0</v>
      </c>
      <c r="AA113" s="191" t="s">
        <v>134</v>
      </c>
      <c r="AB113" s="221" t="s">
        <v>130</v>
      </c>
      <c r="AE113" s="183" t="s">
        <v>188</v>
      </c>
      <c r="AG113" s="183" t="str">
        <f t="shared" si="3"/>
        <v xml:space="preserve">[1,x,x,x,x,0,1,1,1,0]-&gt;[0,1,0,x,x,1,1,x,x,0];   </v>
      </c>
    </row>
    <row r="114" spans="1:33" ht="15.75" thickBot="1" x14ac:dyDescent="0.3">
      <c r="A114" s="249"/>
      <c r="C114" s="220" t="s">
        <v>135</v>
      </c>
      <c r="D114" s="298">
        <v>1</v>
      </c>
      <c r="E114" s="233" t="s">
        <v>218</v>
      </c>
      <c r="F114" s="214" t="s">
        <v>218</v>
      </c>
      <c r="G114" s="214" t="s">
        <v>218</v>
      </c>
      <c r="H114" s="230" t="s">
        <v>218</v>
      </c>
      <c r="I114" s="223">
        <v>0</v>
      </c>
      <c r="J114" s="223">
        <v>1</v>
      </c>
      <c r="K114" s="225">
        <v>1</v>
      </c>
      <c r="L114" s="191">
        <v>1</v>
      </c>
      <c r="M114" s="191">
        <v>1</v>
      </c>
      <c r="N114" s="191" t="s">
        <v>134</v>
      </c>
      <c r="O114" s="211" t="s">
        <v>212</v>
      </c>
      <c r="P114" s="191" t="s">
        <v>135</v>
      </c>
      <c r="Q114" s="191">
        <v>0</v>
      </c>
      <c r="R114" s="191">
        <v>1</v>
      </c>
      <c r="S114" s="191">
        <v>1</v>
      </c>
      <c r="T114" s="233" t="s">
        <v>218</v>
      </c>
      <c r="U114" s="230" t="s">
        <v>218</v>
      </c>
      <c r="V114" s="191">
        <v>1</v>
      </c>
      <c r="W114" s="191">
        <v>1</v>
      </c>
      <c r="X114" s="233" t="s">
        <v>218</v>
      </c>
      <c r="Y114" s="230" t="s">
        <v>218</v>
      </c>
      <c r="Z114" s="191">
        <v>0</v>
      </c>
      <c r="AA114" s="191" t="s">
        <v>134</v>
      </c>
      <c r="AB114" s="221" t="s">
        <v>130</v>
      </c>
      <c r="AG114" s="183" t="str">
        <f t="shared" si="3"/>
        <v xml:space="preserve">[1,x,x,x,x,0,1,1,1,1]-&gt;[0,1,1,x,x,1,1,x,x,0];   </v>
      </c>
    </row>
    <row r="115" spans="1:33" x14ac:dyDescent="0.25">
      <c r="A115" s="249"/>
      <c r="C115" s="220" t="s">
        <v>135</v>
      </c>
      <c r="D115" s="298">
        <v>1</v>
      </c>
      <c r="E115" s="233" t="s">
        <v>218</v>
      </c>
      <c r="F115" s="214" t="s">
        <v>218</v>
      </c>
      <c r="G115" s="214" t="s">
        <v>218</v>
      </c>
      <c r="H115" s="230" t="s">
        <v>218</v>
      </c>
      <c r="I115" s="191">
        <v>1</v>
      </c>
      <c r="J115" s="191">
        <v>0</v>
      </c>
      <c r="K115" s="191">
        <v>0</v>
      </c>
      <c r="L115" s="191">
        <v>0</v>
      </c>
      <c r="M115" s="191">
        <v>0</v>
      </c>
      <c r="N115" s="191" t="s">
        <v>134</v>
      </c>
      <c r="O115" s="211" t="s">
        <v>212</v>
      </c>
      <c r="P115" s="191" t="s">
        <v>135</v>
      </c>
      <c r="Q115" s="287">
        <v>0</v>
      </c>
      <c r="R115" s="288">
        <v>1</v>
      </c>
      <c r="S115" s="289">
        <v>0</v>
      </c>
      <c r="T115" s="233" t="s">
        <v>218</v>
      </c>
      <c r="U115" s="230" t="s">
        <v>218</v>
      </c>
      <c r="V115" s="191">
        <v>1</v>
      </c>
      <c r="W115" s="297">
        <v>0</v>
      </c>
      <c r="X115" s="287">
        <v>0</v>
      </c>
      <c r="Y115" s="289">
        <v>0</v>
      </c>
      <c r="Z115" s="191">
        <v>0</v>
      </c>
      <c r="AA115" s="191" t="s">
        <v>134</v>
      </c>
      <c r="AB115" s="221" t="s">
        <v>130</v>
      </c>
      <c r="AC115" s="242" t="s">
        <v>216</v>
      </c>
      <c r="AD115" s="286" t="s">
        <v>270</v>
      </c>
      <c r="AE115" s="183" t="s">
        <v>183</v>
      </c>
      <c r="AG115" s="183" t="str">
        <f>C115&amp;D115&amp;","&amp;E115&amp;","&amp;F115&amp;","&amp;G115&amp;","&amp;H115&amp;","&amp;I115&amp;","&amp;J115&amp;","&amp;K115&amp;","&amp;L115&amp;","&amp;M115&amp;N115&amp;O115&amp;P115&amp;Q115&amp;","&amp;R115&amp;","&amp;S115&amp;","&amp;T115&amp;","&amp;U115&amp;","&amp;V115&amp;","&amp;W115&amp;","&amp;X115&amp;","&amp;Y115&amp;","&amp;Z115&amp;AA115&amp;AB115&amp;"   "&amp;AC115&amp;AD115</f>
        <v>[1,x,x,x,x,1,0,0,0,0]-&gt;[0,1,0,x,x,1,0,0,0,0];   "DolphinDOS RAM</v>
      </c>
    </row>
    <row r="116" spans="1:33" x14ac:dyDescent="0.25">
      <c r="A116" s="249"/>
      <c r="C116" s="220" t="s">
        <v>135</v>
      </c>
      <c r="D116" s="298">
        <v>1</v>
      </c>
      <c r="E116" s="233" t="s">
        <v>218</v>
      </c>
      <c r="F116" s="214" t="s">
        <v>218</v>
      </c>
      <c r="G116" s="214" t="s">
        <v>218</v>
      </c>
      <c r="H116" s="230" t="s">
        <v>218</v>
      </c>
      <c r="I116" s="191">
        <v>1</v>
      </c>
      <c r="J116" s="191">
        <v>0</v>
      </c>
      <c r="K116" s="191">
        <v>0</v>
      </c>
      <c r="L116" s="191">
        <v>0</v>
      </c>
      <c r="M116" s="191">
        <v>1</v>
      </c>
      <c r="N116" s="191" t="s">
        <v>134</v>
      </c>
      <c r="O116" s="211" t="s">
        <v>212</v>
      </c>
      <c r="P116" s="191" t="s">
        <v>135</v>
      </c>
      <c r="Q116" s="290">
        <v>0</v>
      </c>
      <c r="R116" s="284">
        <v>1</v>
      </c>
      <c r="S116" s="291">
        <v>0</v>
      </c>
      <c r="T116" s="233" t="s">
        <v>218</v>
      </c>
      <c r="U116" s="230" t="s">
        <v>218</v>
      </c>
      <c r="V116" s="191">
        <v>1</v>
      </c>
      <c r="W116" s="298">
        <v>0</v>
      </c>
      <c r="X116" s="290">
        <v>0</v>
      </c>
      <c r="Y116" s="291">
        <v>0</v>
      </c>
      <c r="Z116" s="191">
        <v>0</v>
      </c>
      <c r="AA116" s="191" t="s">
        <v>134</v>
      </c>
      <c r="AB116" s="221" t="s">
        <v>130</v>
      </c>
      <c r="AD116" s="252"/>
      <c r="AG116" s="183" t="str">
        <f t="shared" si="3"/>
        <v xml:space="preserve">[1,x,x,x,x,1,0,0,0,1]-&gt;[0,1,0,x,x,1,0,0,0,0];   </v>
      </c>
    </row>
    <row r="117" spans="1:33" x14ac:dyDescent="0.25">
      <c r="A117" s="249"/>
      <c r="C117" s="220" t="s">
        <v>135</v>
      </c>
      <c r="D117" s="298">
        <v>1</v>
      </c>
      <c r="E117" s="233" t="s">
        <v>218</v>
      </c>
      <c r="F117" s="214" t="s">
        <v>218</v>
      </c>
      <c r="G117" s="214" t="s">
        <v>218</v>
      </c>
      <c r="H117" s="230" t="s">
        <v>218</v>
      </c>
      <c r="I117" s="191">
        <v>1</v>
      </c>
      <c r="J117" s="191">
        <v>0</v>
      </c>
      <c r="K117" s="191">
        <v>0</v>
      </c>
      <c r="L117" s="191">
        <v>1</v>
      </c>
      <c r="M117" s="191">
        <v>0</v>
      </c>
      <c r="N117" s="191" t="s">
        <v>134</v>
      </c>
      <c r="O117" s="211" t="s">
        <v>212</v>
      </c>
      <c r="P117" s="191" t="s">
        <v>135</v>
      </c>
      <c r="Q117" s="290">
        <v>0</v>
      </c>
      <c r="R117" s="284">
        <v>1</v>
      </c>
      <c r="S117" s="291">
        <v>0</v>
      </c>
      <c r="T117" s="233" t="s">
        <v>218</v>
      </c>
      <c r="U117" s="230" t="s">
        <v>218</v>
      </c>
      <c r="V117" s="191">
        <v>1</v>
      </c>
      <c r="W117" s="298">
        <v>0</v>
      </c>
      <c r="X117" s="290">
        <v>0</v>
      </c>
      <c r="Y117" s="291">
        <v>0</v>
      </c>
      <c r="Z117" s="191">
        <v>0</v>
      </c>
      <c r="AA117" s="191" t="s">
        <v>134</v>
      </c>
      <c r="AB117" s="221" t="s">
        <v>130</v>
      </c>
      <c r="AD117" s="252"/>
      <c r="AE117" s="183" t="s">
        <v>181</v>
      </c>
      <c r="AG117" s="183" t="str">
        <f t="shared" si="3"/>
        <v xml:space="preserve">[1,x,x,x,x,1,0,0,1,0]-&gt;[0,1,0,x,x,1,0,0,0,0];   </v>
      </c>
    </row>
    <row r="118" spans="1:33" ht="15.75" thickBot="1" x14ac:dyDescent="0.3">
      <c r="A118" s="249"/>
      <c r="C118" s="220" t="s">
        <v>135</v>
      </c>
      <c r="D118" s="298">
        <v>1</v>
      </c>
      <c r="E118" s="233" t="s">
        <v>218</v>
      </c>
      <c r="F118" s="214" t="s">
        <v>218</v>
      </c>
      <c r="G118" s="214" t="s">
        <v>218</v>
      </c>
      <c r="H118" s="230" t="s">
        <v>218</v>
      </c>
      <c r="I118" s="191">
        <v>1</v>
      </c>
      <c r="J118" s="191">
        <v>0</v>
      </c>
      <c r="K118" s="191">
        <v>0</v>
      </c>
      <c r="L118" s="191">
        <v>1</v>
      </c>
      <c r="M118" s="191">
        <v>1</v>
      </c>
      <c r="N118" s="191" t="s">
        <v>134</v>
      </c>
      <c r="O118" s="211" t="s">
        <v>212</v>
      </c>
      <c r="P118" s="191" t="s">
        <v>135</v>
      </c>
      <c r="Q118" s="292">
        <v>0</v>
      </c>
      <c r="R118" s="285">
        <v>1</v>
      </c>
      <c r="S118" s="293">
        <v>0</v>
      </c>
      <c r="T118" s="233" t="s">
        <v>218</v>
      </c>
      <c r="U118" s="230" t="s">
        <v>218</v>
      </c>
      <c r="V118" s="191">
        <v>1</v>
      </c>
      <c r="W118" s="299">
        <v>0</v>
      </c>
      <c r="X118" s="292">
        <v>0</v>
      </c>
      <c r="Y118" s="293">
        <v>0</v>
      </c>
      <c r="Z118" s="191">
        <v>0</v>
      </c>
      <c r="AA118" s="191" t="s">
        <v>134</v>
      </c>
      <c r="AB118" s="221" t="s">
        <v>130</v>
      </c>
      <c r="AD118" s="253"/>
      <c r="AG118" s="183" t="str">
        <f t="shared" si="3"/>
        <v xml:space="preserve">[1,x,x,x,x,1,0,0,1,1]-&gt;[0,1,0,x,x,1,0,0,0,0];   </v>
      </c>
    </row>
    <row r="119" spans="1:33" x14ac:dyDescent="0.25">
      <c r="A119" s="249"/>
      <c r="C119" s="220" t="s">
        <v>135</v>
      </c>
      <c r="D119" s="298">
        <v>1</v>
      </c>
      <c r="E119" s="233" t="s">
        <v>218</v>
      </c>
      <c r="F119" s="214" t="s">
        <v>218</v>
      </c>
      <c r="G119" s="214" t="s">
        <v>218</v>
      </c>
      <c r="H119" s="230" t="s">
        <v>218</v>
      </c>
      <c r="I119" s="191">
        <v>1</v>
      </c>
      <c r="J119" s="191">
        <v>0</v>
      </c>
      <c r="K119" s="191">
        <v>1</v>
      </c>
      <c r="L119" s="191">
        <v>0</v>
      </c>
      <c r="M119" s="191">
        <v>0</v>
      </c>
      <c r="N119" s="191" t="s">
        <v>134</v>
      </c>
      <c r="O119" s="211" t="s">
        <v>212</v>
      </c>
      <c r="P119" s="191" t="s">
        <v>135</v>
      </c>
      <c r="Q119" s="287">
        <v>0</v>
      </c>
      <c r="R119" s="288">
        <v>1</v>
      </c>
      <c r="S119" s="289">
        <v>0</v>
      </c>
      <c r="T119" s="233">
        <v>0</v>
      </c>
      <c r="U119" s="230">
        <v>1</v>
      </c>
      <c r="V119" s="297">
        <v>0</v>
      </c>
      <c r="W119" s="191">
        <v>1</v>
      </c>
      <c r="X119" s="290">
        <v>0</v>
      </c>
      <c r="Y119" s="291">
        <v>0</v>
      </c>
      <c r="Z119" s="191">
        <v>0</v>
      </c>
      <c r="AA119" s="191" t="s">
        <v>134</v>
      </c>
      <c r="AB119" s="221" t="s">
        <v>130</v>
      </c>
      <c r="AC119" s="242" t="s">
        <v>216</v>
      </c>
      <c r="AD119" s="286" t="s">
        <v>273</v>
      </c>
      <c r="AE119" s="183" t="s">
        <v>178</v>
      </c>
      <c r="AG119" s="183" t="str">
        <f t="shared" si="3"/>
        <v>[1,x,x,x,x,1,0,1,0,0]-&gt;[0,1,0,0,1,0,1,0,0,0];   "DolphinDOS Dos-Extension (8000)</v>
      </c>
    </row>
    <row r="120" spans="1:33" x14ac:dyDescent="0.25">
      <c r="A120" s="249"/>
      <c r="C120" s="220" t="s">
        <v>135</v>
      </c>
      <c r="D120" s="298">
        <v>1</v>
      </c>
      <c r="E120" s="233" t="s">
        <v>218</v>
      </c>
      <c r="F120" s="214" t="s">
        <v>218</v>
      </c>
      <c r="G120" s="214" t="s">
        <v>218</v>
      </c>
      <c r="H120" s="230" t="s">
        <v>218</v>
      </c>
      <c r="I120" s="191">
        <v>1</v>
      </c>
      <c r="J120" s="191">
        <v>0</v>
      </c>
      <c r="K120" s="191">
        <v>1</v>
      </c>
      <c r="L120" s="191">
        <v>0</v>
      </c>
      <c r="M120" s="191">
        <v>1</v>
      </c>
      <c r="N120" s="191" t="s">
        <v>134</v>
      </c>
      <c r="O120" s="211" t="s">
        <v>212</v>
      </c>
      <c r="P120" s="191" t="s">
        <v>135</v>
      </c>
      <c r="Q120" s="290">
        <v>0</v>
      </c>
      <c r="R120" s="284">
        <v>1</v>
      </c>
      <c r="S120" s="291">
        <v>0</v>
      </c>
      <c r="T120" s="233">
        <v>0</v>
      </c>
      <c r="U120" s="230">
        <v>1</v>
      </c>
      <c r="V120" s="298">
        <v>0</v>
      </c>
      <c r="W120" s="191">
        <v>1</v>
      </c>
      <c r="X120" s="290">
        <v>0</v>
      </c>
      <c r="Y120" s="291">
        <v>0</v>
      </c>
      <c r="Z120" s="191">
        <v>0</v>
      </c>
      <c r="AA120" s="191" t="s">
        <v>134</v>
      </c>
      <c r="AB120" s="221" t="s">
        <v>130</v>
      </c>
      <c r="AD120" s="252"/>
      <c r="AG120" s="183" t="str">
        <f t="shared" si="3"/>
        <v xml:space="preserve">[1,x,x,x,x,1,0,1,0,1]-&gt;[0,1,0,0,1,0,1,0,0,0];   </v>
      </c>
    </row>
    <row r="121" spans="1:33" x14ac:dyDescent="0.25">
      <c r="A121" s="249"/>
      <c r="C121" s="220" t="s">
        <v>135</v>
      </c>
      <c r="D121" s="298">
        <v>1</v>
      </c>
      <c r="E121" s="233" t="s">
        <v>218</v>
      </c>
      <c r="F121" s="214" t="s">
        <v>218</v>
      </c>
      <c r="G121" s="214" t="s">
        <v>218</v>
      </c>
      <c r="H121" s="230" t="s">
        <v>218</v>
      </c>
      <c r="I121" s="191">
        <v>1</v>
      </c>
      <c r="J121" s="191">
        <v>0</v>
      </c>
      <c r="K121" s="191">
        <v>1</v>
      </c>
      <c r="L121" s="191">
        <v>1</v>
      </c>
      <c r="M121" s="191">
        <v>0</v>
      </c>
      <c r="N121" s="191" t="s">
        <v>134</v>
      </c>
      <c r="O121" s="211" t="s">
        <v>212</v>
      </c>
      <c r="P121" s="191" t="s">
        <v>135</v>
      </c>
      <c r="Q121" s="290">
        <v>0</v>
      </c>
      <c r="R121" s="284">
        <v>1</v>
      </c>
      <c r="S121" s="291">
        <v>0</v>
      </c>
      <c r="T121" s="233">
        <v>0</v>
      </c>
      <c r="U121" s="230">
        <v>1</v>
      </c>
      <c r="V121" s="298">
        <v>0</v>
      </c>
      <c r="W121" s="191">
        <v>1</v>
      </c>
      <c r="X121" s="290">
        <v>0</v>
      </c>
      <c r="Y121" s="291">
        <v>0</v>
      </c>
      <c r="Z121" s="191">
        <v>0</v>
      </c>
      <c r="AA121" s="191" t="s">
        <v>134</v>
      </c>
      <c r="AB121" s="221" t="s">
        <v>130</v>
      </c>
      <c r="AD121" s="252"/>
      <c r="AE121" s="183" t="s">
        <v>176</v>
      </c>
      <c r="AG121" s="183" t="str">
        <f t="shared" si="3"/>
        <v xml:space="preserve">[1,x,x,x,x,1,0,1,1,0]-&gt;[0,1,0,0,1,0,1,0,0,0];   </v>
      </c>
    </row>
    <row r="122" spans="1:33" ht="15.75" thickBot="1" x14ac:dyDescent="0.3">
      <c r="A122" s="249"/>
      <c r="C122" s="220" t="s">
        <v>135</v>
      </c>
      <c r="D122" s="298">
        <v>1</v>
      </c>
      <c r="E122" s="233" t="s">
        <v>218</v>
      </c>
      <c r="F122" s="214" t="s">
        <v>218</v>
      </c>
      <c r="G122" s="214" t="s">
        <v>218</v>
      </c>
      <c r="H122" s="230" t="s">
        <v>218</v>
      </c>
      <c r="I122" s="191">
        <v>1</v>
      </c>
      <c r="J122" s="191">
        <v>0</v>
      </c>
      <c r="K122" s="191">
        <v>1</v>
      </c>
      <c r="L122" s="191">
        <v>1</v>
      </c>
      <c r="M122" s="191">
        <v>1</v>
      </c>
      <c r="N122" s="191" t="s">
        <v>134</v>
      </c>
      <c r="O122" s="211" t="s">
        <v>212</v>
      </c>
      <c r="P122" s="191" t="s">
        <v>135</v>
      </c>
      <c r="Q122" s="292">
        <v>0</v>
      </c>
      <c r="R122" s="285">
        <v>1</v>
      </c>
      <c r="S122" s="293">
        <v>0</v>
      </c>
      <c r="T122" s="233">
        <v>0</v>
      </c>
      <c r="U122" s="230">
        <v>1</v>
      </c>
      <c r="V122" s="299">
        <v>0</v>
      </c>
      <c r="W122" s="191">
        <v>1</v>
      </c>
      <c r="X122" s="292">
        <v>0</v>
      </c>
      <c r="Y122" s="293">
        <v>0</v>
      </c>
      <c r="Z122" s="191">
        <v>0</v>
      </c>
      <c r="AA122" s="191" t="s">
        <v>134</v>
      </c>
      <c r="AB122" s="221" t="s">
        <v>130</v>
      </c>
      <c r="AD122" s="253"/>
      <c r="AG122" s="183" t="str">
        <f t="shared" si="3"/>
        <v xml:space="preserve">[1,x,x,x,x,1,0,1,1,1]-&gt;[0,1,0,0,1,0,1,0,0,0];   </v>
      </c>
    </row>
    <row r="123" spans="1:33" x14ac:dyDescent="0.25">
      <c r="A123" s="249"/>
      <c r="C123" s="220" t="s">
        <v>135</v>
      </c>
      <c r="D123" s="298">
        <v>1</v>
      </c>
      <c r="E123" s="233" t="s">
        <v>218</v>
      </c>
      <c r="F123" s="214" t="s">
        <v>218</v>
      </c>
      <c r="G123" s="214" t="s">
        <v>218</v>
      </c>
      <c r="H123" s="230" t="s">
        <v>218</v>
      </c>
      <c r="I123" s="226">
        <v>1</v>
      </c>
      <c r="J123" s="226">
        <v>1</v>
      </c>
      <c r="K123" s="236">
        <v>0</v>
      </c>
      <c r="L123" s="191">
        <v>0</v>
      </c>
      <c r="M123" s="191">
        <v>0</v>
      </c>
      <c r="N123" s="191" t="s">
        <v>134</v>
      </c>
      <c r="O123" s="211" t="s">
        <v>212</v>
      </c>
      <c r="P123" s="191" t="s">
        <v>135</v>
      </c>
      <c r="Q123" s="287">
        <v>0</v>
      </c>
      <c r="R123" s="288">
        <v>1</v>
      </c>
      <c r="S123" s="289">
        <v>0</v>
      </c>
      <c r="T123" s="233">
        <v>1</v>
      </c>
      <c r="U123" s="230">
        <v>0</v>
      </c>
      <c r="V123" s="298">
        <v>0</v>
      </c>
      <c r="W123" s="191">
        <v>1</v>
      </c>
      <c r="X123" s="290">
        <v>0</v>
      </c>
      <c r="Y123" s="291">
        <v>0</v>
      </c>
      <c r="Z123" s="191">
        <v>0</v>
      </c>
      <c r="AA123" s="191" t="s">
        <v>134</v>
      </c>
      <c r="AB123" s="221" t="s">
        <v>130</v>
      </c>
      <c r="AC123" s="242" t="s">
        <v>216</v>
      </c>
      <c r="AD123" s="286" t="s">
        <v>272</v>
      </c>
      <c r="AE123" s="183" t="s">
        <v>172</v>
      </c>
      <c r="AG123" s="183" t="str">
        <f t="shared" si="3"/>
        <v>[1,x,x,x,x,1,1,0,0,0]-&gt;[0,1,0,1,0,0,1,0,0,0];   "DolphinDOS LoRom (A000)</v>
      </c>
    </row>
    <row r="124" spans="1:33" x14ac:dyDescent="0.25">
      <c r="A124" s="249"/>
      <c r="C124" s="220" t="s">
        <v>135</v>
      </c>
      <c r="D124" s="298">
        <v>1</v>
      </c>
      <c r="E124" s="233" t="s">
        <v>218</v>
      </c>
      <c r="F124" s="214" t="s">
        <v>218</v>
      </c>
      <c r="G124" s="214" t="s">
        <v>218</v>
      </c>
      <c r="H124" s="230" t="s">
        <v>218</v>
      </c>
      <c r="I124" s="213">
        <v>1</v>
      </c>
      <c r="J124" s="213">
        <v>1</v>
      </c>
      <c r="K124" s="238">
        <v>0</v>
      </c>
      <c r="L124" s="191">
        <v>0</v>
      </c>
      <c r="M124" s="191">
        <v>1</v>
      </c>
      <c r="N124" s="191" t="s">
        <v>134</v>
      </c>
      <c r="O124" s="211" t="s">
        <v>212</v>
      </c>
      <c r="P124" s="191" t="s">
        <v>135</v>
      </c>
      <c r="Q124" s="290">
        <v>0</v>
      </c>
      <c r="R124" s="284">
        <v>1</v>
      </c>
      <c r="S124" s="291">
        <v>0</v>
      </c>
      <c r="T124" s="233">
        <v>1</v>
      </c>
      <c r="U124" s="230">
        <v>0</v>
      </c>
      <c r="V124" s="298">
        <v>0</v>
      </c>
      <c r="W124" s="191">
        <v>1</v>
      </c>
      <c r="X124" s="290">
        <v>0</v>
      </c>
      <c r="Y124" s="291">
        <v>0</v>
      </c>
      <c r="Z124" s="191">
        <v>0</v>
      </c>
      <c r="AA124" s="191" t="s">
        <v>134</v>
      </c>
      <c r="AB124" s="221" t="s">
        <v>130</v>
      </c>
      <c r="AD124" s="252"/>
      <c r="AG124" s="183" t="str">
        <f t="shared" si="3"/>
        <v xml:space="preserve">[1,x,x,x,x,1,1,0,0,1]-&gt;[0,1,0,1,0,0,1,0,0,0];   </v>
      </c>
    </row>
    <row r="125" spans="1:33" x14ac:dyDescent="0.25">
      <c r="A125" s="249"/>
      <c r="C125" s="220" t="s">
        <v>135</v>
      </c>
      <c r="D125" s="298">
        <v>1</v>
      </c>
      <c r="E125" s="233" t="s">
        <v>218</v>
      </c>
      <c r="F125" s="214" t="s">
        <v>218</v>
      </c>
      <c r="G125" s="214" t="s">
        <v>218</v>
      </c>
      <c r="H125" s="230" t="s">
        <v>218</v>
      </c>
      <c r="I125" s="213">
        <v>1</v>
      </c>
      <c r="J125" s="213">
        <v>1</v>
      </c>
      <c r="K125" s="238">
        <v>0</v>
      </c>
      <c r="L125" s="191">
        <v>1</v>
      </c>
      <c r="M125" s="191">
        <v>0</v>
      </c>
      <c r="N125" s="191" t="s">
        <v>134</v>
      </c>
      <c r="O125" s="211" t="s">
        <v>212</v>
      </c>
      <c r="P125" s="191" t="s">
        <v>135</v>
      </c>
      <c r="Q125" s="290">
        <v>0</v>
      </c>
      <c r="R125" s="284">
        <v>1</v>
      </c>
      <c r="S125" s="291">
        <v>0</v>
      </c>
      <c r="T125" s="233">
        <v>1</v>
      </c>
      <c r="U125" s="230">
        <v>0</v>
      </c>
      <c r="V125" s="298">
        <v>0</v>
      </c>
      <c r="W125" s="191">
        <v>1</v>
      </c>
      <c r="X125" s="290">
        <v>0</v>
      </c>
      <c r="Y125" s="291">
        <v>0</v>
      </c>
      <c r="Z125" s="191">
        <v>0</v>
      </c>
      <c r="AA125" s="191" t="s">
        <v>134</v>
      </c>
      <c r="AB125" s="221" t="s">
        <v>130</v>
      </c>
      <c r="AD125" s="252"/>
      <c r="AE125" s="183" t="s">
        <v>170</v>
      </c>
      <c r="AG125" s="183" t="str">
        <f t="shared" si="3"/>
        <v xml:space="preserve">[1,x,x,x,x,1,1,0,1,0]-&gt;[0,1,0,1,0,0,1,0,0,0];   </v>
      </c>
    </row>
    <row r="126" spans="1:33" ht="15.75" thickBot="1" x14ac:dyDescent="0.3">
      <c r="A126" s="249"/>
      <c r="C126" s="220" t="s">
        <v>135</v>
      </c>
      <c r="D126" s="298">
        <v>1</v>
      </c>
      <c r="E126" s="233" t="s">
        <v>218</v>
      </c>
      <c r="F126" s="214" t="s">
        <v>218</v>
      </c>
      <c r="G126" s="214" t="s">
        <v>218</v>
      </c>
      <c r="H126" s="230" t="s">
        <v>218</v>
      </c>
      <c r="I126" s="227">
        <v>1</v>
      </c>
      <c r="J126" s="227">
        <v>1</v>
      </c>
      <c r="K126" s="240">
        <v>0</v>
      </c>
      <c r="L126" s="191">
        <v>1</v>
      </c>
      <c r="M126" s="191">
        <v>1</v>
      </c>
      <c r="N126" s="191" t="s">
        <v>134</v>
      </c>
      <c r="O126" s="211" t="s">
        <v>212</v>
      </c>
      <c r="P126" s="191" t="s">
        <v>135</v>
      </c>
      <c r="Q126" s="292">
        <v>0</v>
      </c>
      <c r="R126" s="285">
        <v>1</v>
      </c>
      <c r="S126" s="293">
        <v>0</v>
      </c>
      <c r="T126" s="233">
        <v>1</v>
      </c>
      <c r="U126" s="230">
        <v>0</v>
      </c>
      <c r="V126" s="299">
        <v>0</v>
      </c>
      <c r="W126" s="191">
        <v>1</v>
      </c>
      <c r="X126" s="292">
        <v>0</v>
      </c>
      <c r="Y126" s="293">
        <v>0</v>
      </c>
      <c r="Z126" s="191">
        <v>0</v>
      </c>
      <c r="AA126" s="191" t="s">
        <v>134</v>
      </c>
      <c r="AB126" s="221" t="s">
        <v>130</v>
      </c>
      <c r="AD126" s="253"/>
      <c r="AG126" s="183" t="str">
        <f t="shared" si="3"/>
        <v xml:space="preserve">[1,x,x,x,x,1,1,0,1,1]-&gt;[0,1,0,1,0,0,1,0,0,0];   </v>
      </c>
    </row>
    <row r="127" spans="1:33" x14ac:dyDescent="0.25">
      <c r="A127" s="249"/>
      <c r="C127" s="220" t="s">
        <v>135</v>
      </c>
      <c r="D127" s="298">
        <v>1</v>
      </c>
      <c r="E127" s="233" t="s">
        <v>218</v>
      </c>
      <c r="F127" s="214" t="s">
        <v>218</v>
      </c>
      <c r="G127" s="214" t="s">
        <v>218</v>
      </c>
      <c r="H127" s="230" t="s">
        <v>218</v>
      </c>
      <c r="I127" s="226">
        <v>1</v>
      </c>
      <c r="J127" s="226">
        <v>1</v>
      </c>
      <c r="K127" s="236">
        <v>1</v>
      </c>
      <c r="L127" s="191">
        <v>0</v>
      </c>
      <c r="M127" s="191">
        <v>0</v>
      </c>
      <c r="N127" s="191" t="s">
        <v>134</v>
      </c>
      <c r="O127" s="211" t="s">
        <v>212</v>
      </c>
      <c r="P127" s="191" t="s">
        <v>135</v>
      </c>
      <c r="Q127" s="287">
        <v>0</v>
      </c>
      <c r="R127" s="288">
        <v>1</v>
      </c>
      <c r="S127" s="289">
        <v>0</v>
      </c>
      <c r="T127" s="233">
        <v>1</v>
      </c>
      <c r="U127" s="230">
        <v>1</v>
      </c>
      <c r="V127" s="298">
        <v>0</v>
      </c>
      <c r="W127" s="191">
        <v>1</v>
      </c>
      <c r="X127" s="290">
        <v>0</v>
      </c>
      <c r="Y127" s="291">
        <v>0</v>
      </c>
      <c r="Z127" s="191">
        <v>0</v>
      </c>
      <c r="AA127" s="191" t="s">
        <v>134</v>
      </c>
      <c r="AB127" s="221" t="s">
        <v>130</v>
      </c>
      <c r="AC127" s="242" t="s">
        <v>216</v>
      </c>
      <c r="AD127" s="286" t="s">
        <v>271</v>
      </c>
      <c r="AE127" s="183" t="s">
        <v>168</v>
      </c>
      <c r="AG127" s="183" t="str">
        <f t="shared" si="3"/>
        <v>[1,x,x,x,x,1,1,1,0,0]-&gt;[0,1,0,1,1,0,1,0,0,0];   "DolphinDOS HiRom (C000)</v>
      </c>
    </row>
    <row r="128" spans="1:33" x14ac:dyDescent="0.25">
      <c r="A128" s="249"/>
      <c r="C128" s="220" t="s">
        <v>135</v>
      </c>
      <c r="D128" s="298">
        <v>1</v>
      </c>
      <c r="E128" s="233" t="s">
        <v>218</v>
      </c>
      <c r="F128" s="214" t="s">
        <v>218</v>
      </c>
      <c r="G128" s="214" t="s">
        <v>218</v>
      </c>
      <c r="H128" s="230" t="s">
        <v>218</v>
      </c>
      <c r="I128" s="213">
        <v>1</v>
      </c>
      <c r="J128" s="213">
        <v>1</v>
      </c>
      <c r="K128" s="238">
        <v>1</v>
      </c>
      <c r="L128" s="191">
        <v>0</v>
      </c>
      <c r="M128" s="191">
        <v>1</v>
      </c>
      <c r="N128" s="191" t="s">
        <v>134</v>
      </c>
      <c r="O128" s="211" t="s">
        <v>212</v>
      </c>
      <c r="P128" s="191" t="s">
        <v>135</v>
      </c>
      <c r="Q128" s="290">
        <v>0</v>
      </c>
      <c r="R128" s="284">
        <v>1</v>
      </c>
      <c r="S128" s="291">
        <v>0</v>
      </c>
      <c r="T128" s="233">
        <v>1</v>
      </c>
      <c r="U128" s="230">
        <v>1</v>
      </c>
      <c r="V128" s="298">
        <v>0</v>
      </c>
      <c r="W128" s="191">
        <v>1</v>
      </c>
      <c r="X128" s="290">
        <v>0</v>
      </c>
      <c r="Y128" s="291">
        <v>0</v>
      </c>
      <c r="Z128" s="191">
        <v>0</v>
      </c>
      <c r="AA128" s="191" t="s">
        <v>134</v>
      </c>
      <c r="AB128" s="221" t="s">
        <v>130</v>
      </c>
      <c r="AD128" s="252"/>
      <c r="AG128" s="183" t="str">
        <f t="shared" si="3"/>
        <v xml:space="preserve">[1,x,x,x,x,1,1,1,0,1]-&gt;[0,1,0,1,1,0,1,0,0,0];   </v>
      </c>
    </row>
    <row r="129" spans="1:33" x14ac:dyDescent="0.25">
      <c r="A129" s="249"/>
      <c r="C129" s="220" t="s">
        <v>135</v>
      </c>
      <c r="D129" s="298">
        <v>1</v>
      </c>
      <c r="E129" s="233" t="s">
        <v>218</v>
      </c>
      <c r="F129" s="214" t="s">
        <v>218</v>
      </c>
      <c r="G129" s="214" t="s">
        <v>218</v>
      </c>
      <c r="H129" s="230" t="s">
        <v>218</v>
      </c>
      <c r="I129" s="213">
        <v>1</v>
      </c>
      <c r="J129" s="213">
        <v>1</v>
      </c>
      <c r="K129" s="238">
        <v>1</v>
      </c>
      <c r="L129" s="191">
        <v>1</v>
      </c>
      <c r="M129" s="191">
        <v>0</v>
      </c>
      <c r="N129" s="191" t="s">
        <v>134</v>
      </c>
      <c r="O129" s="211" t="s">
        <v>212</v>
      </c>
      <c r="P129" s="191" t="s">
        <v>135</v>
      </c>
      <c r="Q129" s="290">
        <v>0</v>
      </c>
      <c r="R129" s="284">
        <v>1</v>
      </c>
      <c r="S129" s="291">
        <v>0</v>
      </c>
      <c r="T129" s="233">
        <v>1</v>
      </c>
      <c r="U129" s="230">
        <v>1</v>
      </c>
      <c r="V129" s="298">
        <v>0</v>
      </c>
      <c r="W129" s="191">
        <v>1</v>
      </c>
      <c r="X129" s="290">
        <v>0</v>
      </c>
      <c r="Y129" s="291">
        <v>0</v>
      </c>
      <c r="Z129" s="191">
        <v>0</v>
      </c>
      <c r="AA129" s="191" t="s">
        <v>134</v>
      </c>
      <c r="AB129" s="221" t="s">
        <v>130</v>
      </c>
      <c r="AD129" s="252"/>
      <c r="AE129" s="183" t="s">
        <v>166</v>
      </c>
      <c r="AG129" s="183" t="str">
        <f t="shared" si="3"/>
        <v xml:space="preserve">[1,x,x,x,x,1,1,1,1,0]-&gt;[0,1,0,1,1,0,1,0,0,0];   </v>
      </c>
    </row>
    <row r="130" spans="1:33" ht="15.75" thickBot="1" x14ac:dyDescent="0.3">
      <c r="A130" s="250"/>
      <c r="B130" s="244"/>
      <c r="C130" s="222" t="s">
        <v>135</v>
      </c>
      <c r="D130" s="299">
        <v>1</v>
      </c>
      <c r="E130" s="234" t="s">
        <v>218</v>
      </c>
      <c r="F130" s="229" t="s">
        <v>218</v>
      </c>
      <c r="G130" s="229" t="s">
        <v>218</v>
      </c>
      <c r="H130" s="231" t="s">
        <v>218</v>
      </c>
      <c r="I130" s="227">
        <v>1</v>
      </c>
      <c r="J130" s="227">
        <v>1</v>
      </c>
      <c r="K130" s="240">
        <v>1</v>
      </c>
      <c r="L130" s="223">
        <v>1</v>
      </c>
      <c r="M130" s="223">
        <v>1</v>
      </c>
      <c r="N130" s="223" t="s">
        <v>134</v>
      </c>
      <c r="O130" s="224" t="s">
        <v>212</v>
      </c>
      <c r="P130" s="223" t="s">
        <v>135</v>
      </c>
      <c r="Q130" s="292">
        <v>0</v>
      </c>
      <c r="R130" s="285">
        <v>1</v>
      </c>
      <c r="S130" s="293">
        <v>0</v>
      </c>
      <c r="T130" s="233">
        <v>1</v>
      </c>
      <c r="U130" s="230">
        <v>1</v>
      </c>
      <c r="V130" s="299">
        <v>0</v>
      </c>
      <c r="W130" s="223">
        <v>1</v>
      </c>
      <c r="X130" s="292">
        <v>0</v>
      </c>
      <c r="Y130" s="293">
        <v>0</v>
      </c>
      <c r="Z130" s="223">
        <v>0</v>
      </c>
      <c r="AA130" s="223" t="s">
        <v>134</v>
      </c>
      <c r="AB130" s="225" t="s">
        <v>130</v>
      </c>
      <c r="AC130" s="245"/>
      <c r="AD130" s="253"/>
      <c r="AG130" s="183" t="str">
        <f t="shared" si="3"/>
        <v xml:space="preserve">[1,x,x,x,x,1,1,1,1,1]-&gt;[0,1,0,1,1,0,1,0,0,0];   </v>
      </c>
    </row>
    <row r="131" spans="1:33" ht="15.75" thickTop="1" x14ac:dyDescent="0.25"/>
  </sheetData>
  <autoFilter ref="D1:M130"/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7"/>
  <sheetViews>
    <sheetView zoomScaleNormal="100" workbookViewId="0">
      <pane ySplit="2" topLeftCell="A3" activePane="bottomLeft" state="frozen"/>
      <selection pane="bottomLeft" activeCell="AB27" sqref="AB27:AB64"/>
    </sheetView>
  </sheetViews>
  <sheetFormatPr baseColWidth="10" defaultColWidth="21.28515625" defaultRowHeight="15" x14ac:dyDescent="0.25"/>
  <cols>
    <col min="1" max="1" width="4.28515625" style="197" bestFit="1" customWidth="1"/>
    <col min="2" max="2" width="20.85546875" style="202" customWidth="1"/>
    <col min="3" max="3" width="6.28515625" style="202" bestFit="1" customWidth="1"/>
    <col min="4" max="4" width="20.85546875" style="197" customWidth="1"/>
    <col min="5" max="5" width="4.28515625" style="202" customWidth="1"/>
    <col min="6" max="6" width="20.85546875" style="197" customWidth="1"/>
    <col min="7" max="7" width="6.28515625" style="197" bestFit="1" customWidth="1"/>
    <col min="8" max="8" width="20.85546875" style="197" customWidth="1"/>
    <col min="9" max="9" width="4.28515625" style="197" customWidth="1"/>
    <col min="10" max="10" width="20.85546875" style="197" customWidth="1"/>
    <col min="11" max="11" width="6.28515625" style="197" bestFit="1" customWidth="1"/>
    <col min="12" max="12" width="20.85546875" style="197" customWidth="1"/>
    <col min="13" max="13" width="4.28515625" style="202" bestFit="1" customWidth="1"/>
    <col min="14" max="14" width="20.85546875" style="197" customWidth="1"/>
    <col min="15" max="15" width="6.28515625" style="202" bestFit="1" customWidth="1"/>
    <col min="16" max="16" width="20.85546875" style="197" customWidth="1"/>
    <col min="17" max="17" width="4.28515625" style="197" customWidth="1"/>
    <col min="18" max="18" width="20.85546875" style="202" customWidth="1"/>
    <col min="19" max="19" width="6.28515625" style="197" bestFit="1" customWidth="1"/>
    <col min="20" max="20" width="21.28515625" style="197"/>
    <col min="21" max="21" width="4.28515625" style="197" customWidth="1"/>
    <col min="22" max="22" width="21.28515625" style="197"/>
    <col min="23" max="23" width="6.28515625" style="197" bestFit="1" customWidth="1"/>
    <col min="24" max="24" width="21.28515625" style="197"/>
    <col min="25" max="25" width="4.28515625" style="197" customWidth="1"/>
    <col min="26" max="26" width="21.28515625" style="197"/>
    <col min="27" max="27" width="6.28515625" style="197" bestFit="1" customWidth="1"/>
    <col min="28" max="28" width="21.28515625" style="197"/>
    <col min="29" max="29" width="4.28515625" style="197" customWidth="1"/>
    <col min="30" max="16384" width="21.28515625" style="197"/>
  </cols>
  <sheetData>
    <row r="1" spans="1:29" ht="15.75" thickBot="1" x14ac:dyDescent="0.3">
      <c r="B1" s="207">
        <v>1541</v>
      </c>
      <c r="D1" s="207" t="s">
        <v>155</v>
      </c>
      <c r="F1" s="207" t="s">
        <v>161</v>
      </c>
      <c r="G1" s="202"/>
      <c r="H1" s="207" t="s">
        <v>160</v>
      </c>
      <c r="I1" s="202"/>
      <c r="J1" s="207" t="s">
        <v>158</v>
      </c>
      <c r="K1" s="202"/>
      <c r="L1" s="207" t="s">
        <v>159</v>
      </c>
      <c r="N1" s="207" t="s">
        <v>156</v>
      </c>
      <c r="P1" s="207" t="s">
        <v>157</v>
      </c>
      <c r="Q1" s="202"/>
      <c r="R1" s="207" t="s">
        <v>230</v>
      </c>
      <c r="S1" s="202"/>
      <c r="T1" s="207" t="s">
        <v>224</v>
      </c>
      <c r="U1" s="202"/>
      <c r="V1" s="207" t="s">
        <v>223</v>
      </c>
      <c r="W1" s="202"/>
      <c r="X1" s="207" t="s">
        <v>222</v>
      </c>
      <c r="Y1" s="202"/>
      <c r="Z1" s="207" t="s">
        <v>162</v>
      </c>
      <c r="AA1" s="202"/>
      <c r="AB1" s="207" t="s">
        <v>231</v>
      </c>
      <c r="AC1" s="202"/>
    </row>
    <row r="2" spans="1:29" ht="15.75" thickBot="1" x14ac:dyDescent="0.3">
      <c r="A2" s="200"/>
      <c r="C2" s="208"/>
      <c r="D2" s="202"/>
      <c r="E2" s="208"/>
      <c r="F2" s="202"/>
      <c r="G2" s="208"/>
      <c r="H2" s="202"/>
      <c r="I2" s="208"/>
      <c r="J2" s="202"/>
      <c r="K2" s="208"/>
      <c r="L2" s="202"/>
      <c r="M2" s="208"/>
      <c r="N2" s="202"/>
      <c r="O2" s="208"/>
      <c r="P2" s="202"/>
      <c r="Q2" s="208"/>
      <c r="S2" s="208"/>
      <c r="U2" s="208"/>
      <c r="W2" s="208"/>
      <c r="Y2" s="208"/>
      <c r="AA2" s="208"/>
      <c r="AC2" s="208"/>
    </row>
    <row r="3" spans="1:29" ht="15" customHeight="1" x14ac:dyDescent="0.25">
      <c r="B3" s="339" t="s">
        <v>232</v>
      </c>
      <c r="D3" s="339" t="s">
        <v>232</v>
      </c>
      <c r="E3" s="197"/>
      <c r="F3" s="339" t="s">
        <v>232</v>
      </c>
      <c r="G3" s="202"/>
      <c r="H3" s="339" t="s">
        <v>232</v>
      </c>
      <c r="J3" s="342" t="s">
        <v>233</v>
      </c>
      <c r="K3" s="202"/>
      <c r="L3" s="342" t="s">
        <v>233</v>
      </c>
      <c r="M3" s="197"/>
      <c r="N3" s="342" t="s">
        <v>234</v>
      </c>
      <c r="P3" s="342" t="s">
        <v>234</v>
      </c>
      <c r="R3" s="342" t="s">
        <v>235</v>
      </c>
      <c r="S3" s="202"/>
      <c r="T3" s="339" t="s">
        <v>164</v>
      </c>
      <c r="V3" s="339" t="s">
        <v>164</v>
      </c>
      <c r="W3" s="202"/>
      <c r="X3" s="342" t="s">
        <v>225</v>
      </c>
      <c r="Z3" s="342" t="s">
        <v>163</v>
      </c>
      <c r="AA3" s="202"/>
      <c r="AB3" s="351" t="s">
        <v>236</v>
      </c>
    </row>
    <row r="4" spans="1:29" x14ac:dyDescent="0.25">
      <c r="B4" s="340"/>
      <c r="C4" s="202" t="s">
        <v>165</v>
      </c>
      <c r="D4" s="340"/>
      <c r="E4" s="197"/>
      <c r="F4" s="340"/>
      <c r="G4" s="202" t="s">
        <v>165</v>
      </c>
      <c r="H4" s="340"/>
      <c r="J4" s="343"/>
      <c r="K4" s="202" t="s">
        <v>165</v>
      </c>
      <c r="L4" s="343"/>
      <c r="M4" s="197"/>
      <c r="N4" s="343"/>
      <c r="O4" s="202" t="s">
        <v>165</v>
      </c>
      <c r="P4" s="343"/>
      <c r="R4" s="343"/>
      <c r="S4" s="202" t="s">
        <v>165</v>
      </c>
      <c r="T4" s="340"/>
      <c r="V4" s="340"/>
      <c r="W4" s="202" t="s">
        <v>165</v>
      </c>
      <c r="X4" s="343"/>
      <c r="Z4" s="343"/>
      <c r="AA4" s="202" t="s">
        <v>165</v>
      </c>
      <c r="AB4" s="352"/>
    </row>
    <row r="5" spans="1:29" x14ac:dyDescent="0.25">
      <c r="B5" s="340"/>
      <c r="D5" s="340"/>
      <c r="E5" s="197"/>
      <c r="F5" s="340"/>
      <c r="G5" s="202"/>
      <c r="H5" s="340"/>
      <c r="J5" s="343"/>
      <c r="K5" s="202"/>
      <c r="L5" s="343"/>
      <c r="M5" s="197"/>
      <c r="N5" s="343"/>
      <c r="P5" s="343"/>
      <c r="R5" s="343"/>
      <c r="S5" s="202"/>
      <c r="T5" s="340"/>
      <c r="V5" s="340"/>
      <c r="W5" s="202"/>
      <c r="X5" s="343"/>
      <c r="Z5" s="343"/>
      <c r="AA5" s="202"/>
      <c r="AB5" s="352"/>
    </row>
    <row r="6" spans="1:29" x14ac:dyDescent="0.25">
      <c r="B6" s="340"/>
      <c r="C6" s="202" t="s">
        <v>166</v>
      </c>
      <c r="D6" s="340"/>
      <c r="E6" s="197"/>
      <c r="F6" s="340"/>
      <c r="G6" s="202" t="s">
        <v>166</v>
      </c>
      <c r="H6" s="340"/>
      <c r="J6" s="343"/>
      <c r="K6" s="202" t="s">
        <v>166</v>
      </c>
      <c r="L6" s="343"/>
      <c r="M6" s="197"/>
      <c r="N6" s="343"/>
      <c r="O6" s="202" t="s">
        <v>166</v>
      </c>
      <c r="P6" s="343"/>
      <c r="R6" s="343"/>
      <c r="S6" s="202" t="s">
        <v>166</v>
      </c>
      <c r="T6" s="340"/>
      <c r="V6" s="340"/>
      <c r="W6" s="202" t="s">
        <v>166</v>
      </c>
      <c r="X6" s="343"/>
      <c r="Z6" s="343"/>
      <c r="AA6" s="202" t="s">
        <v>166</v>
      </c>
      <c r="AB6" s="352"/>
    </row>
    <row r="7" spans="1:29" x14ac:dyDescent="0.25">
      <c r="B7" s="340"/>
      <c r="D7" s="340"/>
      <c r="E7" s="197"/>
      <c r="F7" s="340"/>
      <c r="G7" s="202"/>
      <c r="H7" s="340"/>
      <c r="J7" s="343"/>
      <c r="K7" s="202"/>
      <c r="L7" s="343"/>
      <c r="M7" s="197"/>
      <c r="N7" s="343"/>
      <c r="P7" s="343"/>
      <c r="R7" s="343"/>
      <c r="S7" s="202"/>
      <c r="T7" s="340"/>
      <c r="V7" s="340"/>
      <c r="W7" s="202"/>
      <c r="X7" s="343"/>
      <c r="Z7" s="343"/>
      <c r="AA7" s="202"/>
      <c r="AB7" s="352"/>
    </row>
    <row r="8" spans="1:29" x14ac:dyDescent="0.25">
      <c r="B8" s="340"/>
      <c r="C8" s="202" t="s">
        <v>167</v>
      </c>
      <c r="D8" s="340"/>
      <c r="E8" s="197"/>
      <c r="F8" s="340"/>
      <c r="G8" s="202" t="s">
        <v>167</v>
      </c>
      <c r="H8" s="340"/>
      <c r="J8" s="343"/>
      <c r="K8" s="202" t="s">
        <v>167</v>
      </c>
      <c r="L8" s="343"/>
      <c r="M8" s="197"/>
      <c r="N8" s="343"/>
      <c r="O8" s="202" t="s">
        <v>167</v>
      </c>
      <c r="P8" s="343"/>
      <c r="R8" s="343"/>
      <c r="S8" s="202" t="s">
        <v>167</v>
      </c>
      <c r="T8" s="340"/>
      <c r="V8" s="340"/>
      <c r="W8" s="202" t="s">
        <v>167</v>
      </c>
      <c r="X8" s="343"/>
      <c r="Z8" s="343"/>
      <c r="AA8" s="202" t="s">
        <v>167</v>
      </c>
      <c r="AB8" s="352"/>
    </row>
    <row r="9" spans="1:29" x14ac:dyDescent="0.25">
      <c r="B9" s="340"/>
      <c r="D9" s="340"/>
      <c r="E9" s="197"/>
      <c r="F9" s="340"/>
      <c r="G9" s="202"/>
      <c r="H9" s="340"/>
      <c r="J9" s="343"/>
      <c r="K9" s="202"/>
      <c r="L9" s="343"/>
      <c r="M9" s="197"/>
      <c r="N9" s="343"/>
      <c r="P9" s="343"/>
      <c r="R9" s="343"/>
      <c r="S9" s="202"/>
      <c r="T9" s="340"/>
      <c r="V9" s="340"/>
      <c r="W9" s="202"/>
      <c r="X9" s="343"/>
      <c r="Z9" s="343"/>
      <c r="AA9" s="202"/>
      <c r="AB9" s="352"/>
    </row>
    <row r="10" spans="1:29" ht="15.75" thickBot="1" x14ac:dyDescent="0.3">
      <c r="A10" s="206" t="s">
        <v>1</v>
      </c>
      <c r="B10" s="341"/>
      <c r="C10" s="202" t="s">
        <v>168</v>
      </c>
      <c r="D10" s="341"/>
      <c r="E10" s="206" t="s">
        <v>1</v>
      </c>
      <c r="F10" s="341"/>
      <c r="G10" s="202" t="s">
        <v>168</v>
      </c>
      <c r="H10" s="341"/>
      <c r="I10" s="206" t="s">
        <v>1</v>
      </c>
      <c r="J10" s="344"/>
      <c r="K10" s="202" t="s">
        <v>168</v>
      </c>
      <c r="L10" s="344"/>
      <c r="M10" s="206" t="s">
        <v>1</v>
      </c>
      <c r="N10" s="344"/>
      <c r="O10" s="202" t="s">
        <v>168</v>
      </c>
      <c r="P10" s="344"/>
      <c r="Q10" s="206" t="s">
        <v>1</v>
      </c>
      <c r="R10" s="344"/>
      <c r="S10" s="202" t="s">
        <v>168</v>
      </c>
      <c r="T10" s="340"/>
      <c r="U10" s="206" t="s">
        <v>1</v>
      </c>
      <c r="V10" s="340"/>
      <c r="W10" s="202" t="s">
        <v>168</v>
      </c>
      <c r="X10" s="343"/>
      <c r="Y10" s="206" t="s">
        <v>1</v>
      </c>
      <c r="Z10" s="343"/>
      <c r="AA10" s="202" t="s">
        <v>168</v>
      </c>
      <c r="AB10" s="353"/>
      <c r="AC10" s="206" t="s">
        <v>1</v>
      </c>
    </row>
    <row r="11" spans="1:29" x14ac:dyDescent="0.25">
      <c r="B11" s="358" t="s">
        <v>237</v>
      </c>
      <c r="D11" s="358" t="s">
        <v>237</v>
      </c>
      <c r="E11" s="197"/>
      <c r="F11" s="358" t="s">
        <v>237</v>
      </c>
      <c r="G11" s="202"/>
      <c r="H11" s="358" t="s">
        <v>237</v>
      </c>
      <c r="J11" s="360" t="s">
        <v>238</v>
      </c>
      <c r="K11" s="202"/>
      <c r="L11" s="360" t="s">
        <v>238</v>
      </c>
      <c r="M11" s="197"/>
      <c r="N11" s="358" t="s">
        <v>237</v>
      </c>
      <c r="P11" s="358" t="s">
        <v>237</v>
      </c>
      <c r="R11" s="360" t="s">
        <v>239</v>
      </c>
      <c r="S11" s="202"/>
      <c r="T11" s="340"/>
      <c r="V11" s="340"/>
      <c r="W11" s="202"/>
      <c r="X11" s="343"/>
      <c r="Z11" s="343"/>
      <c r="AA11" s="202"/>
      <c r="AB11" s="351" t="s">
        <v>240</v>
      </c>
    </row>
    <row r="12" spans="1:29" x14ac:dyDescent="0.25">
      <c r="B12" s="340"/>
      <c r="C12" s="202" t="s">
        <v>169</v>
      </c>
      <c r="D12" s="340"/>
      <c r="E12" s="197"/>
      <c r="F12" s="340"/>
      <c r="G12" s="202" t="s">
        <v>169</v>
      </c>
      <c r="H12" s="340"/>
      <c r="J12" s="343"/>
      <c r="K12" s="202" t="s">
        <v>169</v>
      </c>
      <c r="L12" s="343"/>
      <c r="M12" s="197"/>
      <c r="N12" s="340"/>
      <c r="O12" s="202" t="s">
        <v>169</v>
      </c>
      <c r="P12" s="340"/>
      <c r="R12" s="343"/>
      <c r="S12" s="202" t="s">
        <v>169</v>
      </c>
      <c r="T12" s="340"/>
      <c r="V12" s="340"/>
      <c r="W12" s="202" t="s">
        <v>169</v>
      </c>
      <c r="X12" s="343"/>
      <c r="Z12" s="343"/>
      <c r="AA12" s="202" t="s">
        <v>169</v>
      </c>
      <c r="AB12" s="352"/>
    </row>
    <row r="13" spans="1:29" x14ac:dyDescent="0.25">
      <c r="B13" s="340"/>
      <c r="D13" s="340"/>
      <c r="E13" s="197"/>
      <c r="F13" s="340"/>
      <c r="G13" s="202"/>
      <c r="H13" s="340"/>
      <c r="J13" s="343"/>
      <c r="K13" s="202"/>
      <c r="L13" s="343"/>
      <c r="M13" s="197"/>
      <c r="N13" s="340"/>
      <c r="P13" s="340"/>
      <c r="R13" s="343"/>
      <c r="S13" s="202"/>
      <c r="T13" s="340"/>
      <c r="V13" s="340"/>
      <c r="W13" s="202"/>
      <c r="X13" s="343"/>
      <c r="Z13" s="343"/>
      <c r="AA13" s="202"/>
      <c r="AB13" s="352"/>
    </row>
    <row r="14" spans="1:29" ht="15.75" thickBot="1" x14ac:dyDescent="0.3">
      <c r="B14" s="340"/>
      <c r="C14" s="202" t="s">
        <v>170</v>
      </c>
      <c r="D14" s="340"/>
      <c r="E14" s="197"/>
      <c r="F14" s="340"/>
      <c r="G14" s="202" t="s">
        <v>170</v>
      </c>
      <c r="H14" s="340"/>
      <c r="J14" s="343"/>
      <c r="K14" s="202" t="s">
        <v>170</v>
      </c>
      <c r="L14" s="343"/>
      <c r="M14" s="197"/>
      <c r="N14" s="340"/>
      <c r="O14" s="202" t="s">
        <v>170</v>
      </c>
      <c r="P14" s="340"/>
      <c r="R14" s="343"/>
      <c r="S14" s="202" t="s">
        <v>170</v>
      </c>
      <c r="T14" s="340"/>
      <c r="V14" s="340"/>
      <c r="W14" s="202" t="s">
        <v>170</v>
      </c>
      <c r="X14" s="343"/>
      <c r="Z14" s="343"/>
      <c r="AA14" s="202" t="s">
        <v>170</v>
      </c>
      <c r="AB14" s="353"/>
    </row>
    <row r="15" spans="1:29" x14ac:dyDescent="0.25">
      <c r="B15" s="340"/>
      <c r="D15" s="340"/>
      <c r="E15" s="197"/>
      <c r="F15" s="340"/>
      <c r="G15" s="202"/>
      <c r="H15" s="340"/>
      <c r="J15" s="343"/>
      <c r="K15" s="202"/>
      <c r="L15" s="343"/>
      <c r="M15" s="197"/>
      <c r="N15" s="340"/>
      <c r="P15" s="340"/>
      <c r="R15" s="343"/>
      <c r="S15" s="202"/>
      <c r="T15" s="340"/>
      <c r="V15" s="340"/>
      <c r="W15" s="202"/>
      <c r="X15" s="343"/>
      <c r="Z15" s="343"/>
      <c r="AA15" s="202"/>
      <c r="AB15" s="354" t="s">
        <v>241</v>
      </c>
    </row>
    <row r="16" spans="1:29" x14ac:dyDescent="0.25">
      <c r="B16" s="340"/>
      <c r="C16" s="202" t="s">
        <v>171</v>
      </c>
      <c r="D16" s="340"/>
      <c r="E16" s="197"/>
      <c r="F16" s="340"/>
      <c r="G16" s="202" t="s">
        <v>171</v>
      </c>
      <c r="H16" s="340"/>
      <c r="J16" s="343"/>
      <c r="K16" s="202" t="s">
        <v>171</v>
      </c>
      <c r="L16" s="343"/>
      <c r="M16" s="197"/>
      <c r="N16" s="340"/>
      <c r="O16" s="202" t="s">
        <v>171</v>
      </c>
      <c r="P16" s="340"/>
      <c r="R16" s="343"/>
      <c r="S16" s="202" t="s">
        <v>171</v>
      </c>
      <c r="T16" s="340"/>
      <c r="V16" s="340"/>
      <c r="W16" s="202" t="s">
        <v>171</v>
      </c>
      <c r="X16" s="343"/>
      <c r="Z16" s="343"/>
      <c r="AA16" s="202" t="s">
        <v>171</v>
      </c>
      <c r="AB16" s="352"/>
    </row>
    <row r="17" spans="1:30" x14ac:dyDescent="0.25">
      <c r="B17" s="340"/>
      <c r="D17" s="340"/>
      <c r="E17" s="197"/>
      <c r="F17" s="340"/>
      <c r="G17" s="202"/>
      <c r="H17" s="340"/>
      <c r="J17" s="343"/>
      <c r="K17" s="202"/>
      <c r="L17" s="343"/>
      <c r="M17" s="197"/>
      <c r="N17" s="340"/>
      <c r="P17" s="340"/>
      <c r="R17" s="343"/>
      <c r="S17" s="202"/>
      <c r="T17" s="340"/>
      <c r="V17" s="340"/>
      <c r="W17" s="202"/>
      <c r="X17" s="343"/>
      <c r="Z17" s="343"/>
      <c r="AA17" s="202"/>
      <c r="AB17" s="352"/>
    </row>
    <row r="18" spans="1:30" ht="15.75" thickBot="1" x14ac:dyDescent="0.3">
      <c r="A18" s="205" t="s">
        <v>33</v>
      </c>
      <c r="B18" s="359"/>
      <c r="C18" s="208" t="s">
        <v>172</v>
      </c>
      <c r="D18" s="359"/>
      <c r="E18" s="205" t="s">
        <v>33</v>
      </c>
      <c r="F18" s="359"/>
      <c r="G18" s="208" t="s">
        <v>172</v>
      </c>
      <c r="H18" s="359"/>
      <c r="I18" s="205" t="s">
        <v>33</v>
      </c>
      <c r="J18" s="350"/>
      <c r="K18" s="208" t="s">
        <v>172</v>
      </c>
      <c r="L18" s="350"/>
      <c r="M18" s="205" t="s">
        <v>33</v>
      </c>
      <c r="N18" s="359"/>
      <c r="O18" s="208" t="s">
        <v>172</v>
      </c>
      <c r="P18" s="359"/>
      <c r="Q18" s="209" t="s">
        <v>33</v>
      </c>
      <c r="R18" s="350"/>
      <c r="S18" s="208" t="s">
        <v>172</v>
      </c>
      <c r="T18" s="340"/>
      <c r="U18" s="209" t="s">
        <v>33</v>
      </c>
      <c r="V18" s="340"/>
      <c r="W18" s="208" t="s">
        <v>172</v>
      </c>
      <c r="X18" s="343"/>
      <c r="Y18" s="209" t="s">
        <v>33</v>
      </c>
      <c r="Z18" s="343"/>
      <c r="AA18" s="208" t="s">
        <v>172</v>
      </c>
      <c r="AB18" s="353"/>
      <c r="AC18" s="209" t="s">
        <v>33</v>
      </c>
    </row>
    <row r="19" spans="1:30" ht="15" customHeight="1" x14ac:dyDescent="0.25">
      <c r="B19" s="355" t="s">
        <v>242</v>
      </c>
      <c r="D19" s="198"/>
      <c r="E19" s="197"/>
      <c r="F19" s="355" t="s">
        <v>242</v>
      </c>
      <c r="G19" s="202"/>
      <c r="H19" s="349" t="s">
        <v>174</v>
      </c>
      <c r="J19" s="349" t="s">
        <v>173</v>
      </c>
      <c r="K19" s="202"/>
      <c r="L19" s="349" t="s">
        <v>173</v>
      </c>
      <c r="M19" s="197"/>
      <c r="N19" s="198"/>
      <c r="P19" s="198"/>
      <c r="R19" s="349" t="s">
        <v>243</v>
      </c>
      <c r="S19" s="202"/>
      <c r="T19" s="340"/>
      <c r="V19" s="340"/>
      <c r="W19" s="202"/>
      <c r="X19" s="343"/>
      <c r="Z19" s="343"/>
      <c r="AA19" s="202"/>
      <c r="AB19" s="354" t="s">
        <v>244</v>
      </c>
    </row>
    <row r="20" spans="1:30" x14ac:dyDescent="0.25">
      <c r="B20" s="356"/>
      <c r="C20" s="202" t="s">
        <v>175</v>
      </c>
      <c r="D20" s="198"/>
      <c r="E20" s="197"/>
      <c r="F20" s="356"/>
      <c r="G20" s="202" t="s">
        <v>175</v>
      </c>
      <c r="H20" s="343"/>
      <c r="J20" s="343"/>
      <c r="K20" s="202" t="s">
        <v>175</v>
      </c>
      <c r="L20" s="343"/>
      <c r="M20" s="197"/>
      <c r="N20" s="198"/>
      <c r="O20" s="202" t="s">
        <v>175</v>
      </c>
      <c r="P20" s="198"/>
      <c r="R20" s="343"/>
      <c r="S20" s="202" t="s">
        <v>175</v>
      </c>
      <c r="T20" s="340"/>
      <c r="V20" s="340"/>
      <c r="W20" s="202" t="s">
        <v>175</v>
      </c>
      <c r="X20" s="343"/>
      <c r="Z20" s="343"/>
      <c r="AA20" s="202" t="s">
        <v>175</v>
      </c>
      <c r="AB20" s="352"/>
    </row>
    <row r="21" spans="1:30" x14ac:dyDescent="0.25">
      <c r="B21" s="356"/>
      <c r="D21" s="198"/>
      <c r="E21" s="197"/>
      <c r="F21" s="356"/>
      <c r="G21" s="202"/>
      <c r="H21" s="343"/>
      <c r="J21" s="343"/>
      <c r="K21" s="202"/>
      <c r="L21" s="343"/>
      <c r="M21" s="197"/>
      <c r="N21" s="198"/>
      <c r="P21" s="198"/>
      <c r="R21" s="343"/>
      <c r="S21" s="202"/>
      <c r="T21" s="340"/>
      <c r="V21" s="340"/>
      <c r="W21" s="202"/>
      <c r="X21" s="343"/>
      <c r="Z21" s="343"/>
      <c r="AA21" s="202"/>
      <c r="AB21" s="352"/>
    </row>
    <row r="22" spans="1:30" x14ac:dyDescent="0.25">
      <c r="A22" s="197" t="s">
        <v>8</v>
      </c>
      <c r="B22" s="356"/>
      <c r="C22" s="202" t="s">
        <v>176</v>
      </c>
      <c r="D22" s="199"/>
      <c r="E22" s="197" t="s">
        <v>8</v>
      </c>
      <c r="F22" s="356"/>
      <c r="G22" s="202" t="s">
        <v>176</v>
      </c>
      <c r="H22" s="343"/>
      <c r="I22" s="197" t="s">
        <v>8</v>
      </c>
      <c r="J22" s="343"/>
      <c r="K22" s="202" t="s">
        <v>176</v>
      </c>
      <c r="L22" s="343"/>
      <c r="M22" s="197" t="s">
        <v>8</v>
      </c>
      <c r="N22" s="199"/>
      <c r="O22" s="202" t="s">
        <v>176</v>
      </c>
      <c r="P22" s="199"/>
      <c r="Q22" s="197" t="s">
        <v>8</v>
      </c>
      <c r="R22" s="343"/>
      <c r="S22" s="202" t="s">
        <v>176</v>
      </c>
      <c r="T22" s="340"/>
      <c r="U22" s="197" t="s">
        <v>8</v>
      </c>
      <c r="V22" s="340"/>
      <c r="W22" s="202" t="s">
        <v>176</v>
      </c>
      <c r="X22" s="343"/>
      <c r="Y22" s="197" t="s">
        <v>8</v>
      </c>
      <c r="Z22" s="343"/>
      <c r="AA22" s="202" t="s">
        <v>176</v>
      </c>
      <c r="AB22" s="352"/>
      <c r="AC22" s="197" t="s">
        <v>8</v>
      </c>
      <c r="AD22" s="197" t="s">
        <v>0</v>
      </c>
    </row>
    <row r="23" spans="1:30" x14ac:dyDescent="0.25">
      <c r="B23" s="356"/>
      <c r="D23" s="198"/>
      <c r="E23" s="197"/>
      <c r="F23" s="356"/>
      <c r="G23" s="202"/>
      <c r="H23" s="343"/>
      <c r="J23" s="343" t="s">
        <v>174</v>
      </c>
      <c r="K23" s="202"/>
      <c r="L23" s="343" t="s">
        <v>174</v>
      </c>
      <c r="M23" s="197"/>
      <c r="N23" s="198"/>
      <c r="P23" s="198"/>
      <c r="R23" s="343"/>
      <c r="S23" s="202"/>
      <c r="T23" s="340"/>
      <c r="V23" s="340"/>
      <c r="W23" s="202"/>
      <c r="X23" s="343"/>
      <c r="Z23" s="343"/>
      <c r="AA23" s="202"/>
      <c r="AB23" s="352"/>
    </row>
    <row r="24" spans="1:30" x14ac:dyDescent="0.25">
      <c r="B24" s="356"/>
      <c r="C24" s="202" t="s">
        <v>177</v>
      </c>
      <c r="D24" s="198"/>
      <c r="E24" s="197"/>
      <c r="F24" s="356"/>
      <c r="G24" s="202" t="s">
        <v>177</v>
      </c>
      <c r="H24" s="343"/>
      <c r="J24" s="343"/>
      <c r="K24" s="202" t="s">
        <v>177</v>
      </c>
      <c r="L24" s="343"/>
      <c r="M24" s="197"/>
      <c r="N24" s="198"/>
      <c r="O24" s="202" t="s">
        <v>177</v>
      </c>
      <c r="P24" s="198"/>
      <c r="R24" s="343"/>
      <c r="S24" s="202" t="s">
        <v>177</v>
      </c>
      <c r="T24" s="340"/>
      <c r="V24" s="340"/>
      <c r="W24" s="202" t="s">
        <v>177</v>
      </c>
      <c r="X24" s="343"/>
      <c r="Z24" s="343"/>
      <c r="AA24" s="202" t="s">
        <v>177</v>
      </c>
      <c r="AB24" s="352"/>
    </row>
    <row r="25" spans="1:30" x14ac:dyDescent="0.25">
      <c r="B25" s="356"/>
      <c r="D25" s="198"/>
      <c r="E25" s="197"/>
      <c r="F25" s="356"/>
      <c r="G25" s="202"/>
      <c r="H25" s="343"/>
      <c r="J25" s="343"/>
      <c r="K25" s="202"/>
      <c r="L25" s="343"/>
      <c r="M25" s="197"/>
      <c r="N25" s="198"/>
      <c r="P25" s="198"/>
      <c r="R25" s="343"/>
      <c r="S25" s="202"/>
      <c r="T25" s="340"/>
      <c r="V25" s="340"/>
      <c r="W25" s="202"/>
      <c r="X25" s="343"/>
      <c r="Z25" s="343"/>
      <c r="AA25" s="202"/>
      <c r="AB25" s="352"/>
    </row>
    <row r="26" spans="1:30" ht="15.75" thickBot="1" x14ac:dyDescent="0.3">
      <c r="A26" s="206" t="s">
        <v>1</v>
      </c>
      <c r="B26" s="357"/>
      <c r="C26" s="202" t="s">
        <v>178</v>
      </c>
      <c r="D26" s="199"/>
      <c r="E26" s="206" t="s">
        <v>1</v>
      </c>
      <c r="F26" s="357"/>
      <c r="G26" s="202" t="s">
        <v>178</v>
      </c>
      <c r="H26" s="350"/>
      <c r="I26" s="206" t="s">
        <v>1</v>
      </c>
      <c r="J26" s="350"/>
      <c r="K26" s="202" t="s">
        <v>178</v>
      </c>
      <c r="L26" s="350"/>
      <c r="M26" s="206" t="s">
        <v>1</v>
      </c>
      <c r="N26" s="199"/>
      <c r="O26" s="202" t="s">
        <v>178</v>
      </c>
      <c r="P26" s="199"/>
      <c r="Q26" s="206" t="s">
        <v>1</v>
      </c>
      <c r="R26" s="350"/>
      <c r="S26" s="202" t="s">
        <v>178</v>
      </c>
      <c r="T26" s="340"/>
      <c r="U26" s="206" t="s">
        <v>1</v>
      </c>
      <c r="V26" s="340"/>
      <c r="W26" s="202" t="s">
        <v>178</v>
      </c>
      <c r="X26" s="343"/>
      <c r="Y26" s="206" t="s">
        <v>1</v>
      </c>
      <c r="Z26" s="343"/>
      <c r="AA26" s="202" t="s">
        <v>178</v>
      </c>
      <c r="AB26" s="353"/>
      <c r="AC26" s="206" t="s">
        <v>1</v>
      </c>
    </row>
    <row r="27" spans="1:30" ht="15" customHeight="1" x14ac:dyDescent="0.25">
      <c r="B27" s="361" t="s">
        <v>245</v>
      </c>
      <c r="D27" s="198"/>
      <c r="E27" s="197"/>
      <c r="F27" s="361" t="s">
        <v>245</v>
      </c>
      <c r="G27" s="202"/>
      <c r="H27" s="349" t="s">
        <v>179</v>
      </c>
      <c r="J27" s="349" t="s">
        <v>179</v>
      </c>
      <c r="K27" s="202"/>
      <c r="L27" s="349" t="s">
        <v>246</v>
      </c>
      <c r="M27" s="197"/>
      <c r="N27" s="361" t="s">
        <v>245</v>
      </c>
      <c r="P27" s="361" t="s">
        <v>245</v>
      </c>
      <c r="R27" s="342" t="s">
        <v>247</v>
      </c>
      <c r="S27" s="202"/>
      <c r="T27" s="340"/>
      <c r="V27" s="340"/>
      <c r="W27" s="202"/>
      <c r="X27" s="343"/>
      <c r="Z27" s="343"/>
      <c r="AA27" s="202"/>
      <c r="AB27" s="354" t="s">
        <v>248</v>
      </c>
    </row>
    <row r="28" spans="1:30" x14ac:dyDescent="0.25">
      <c r="B28" s="356"/>
      <c r="C28" s="202" t="s">
        <v>180</v>
      </c>
      <c r="D28" s="198"/>
      <c r="E28" s="197"/>
      <c r="F28" s="356"/>
      <c r="G28" s="202" t="s">
        <v>180</v>
      </c>
      <c r="H28" s="343"/>
      <c r="J28" s="343"/>
      <c r="K28" s="202" t="s">
        <v>180</v>
      </c>
      <c r="L28" s="343"/>
      <c r="M28" s="197"/>
      <c r="N28" s="363"/>
      <c r="O28" s="202" t="s">
        <v>180</v>
      </c>
      <c r="P28" s="363"/>
      <c r="R28" s="343"/>
      <c r="S28" s="202" t="s">
        <v>180</v>
      </c>
      <c r="T28" s="340"/>
      <c r="V28" s="340"/>
      <c r="W28" s="202" t="s">
        <v>180</v>
      </c>
      <c r="X28" s="343"/>
      <c r="Z28" s="343"/>
      <c r="AA28" s="202" t="s">
        <v>180</v>
      </c>
      <c r="AB28" s="352"/>
    </row>
    <row r="29" spans="1:30" x14ac:dyDescent="0.25">
      <c r="B29" s="356"/>
      <c r="D29" s="198"/>
      <c r="E29" s="197"/>
      <c r="F29" s="356"/>
      <c r="G29" s="202"/>
      <c r="H29" s="343"/>
      <c r="J29" s="343"/>
      <c r="K29" s="202"/>
      <c r="L29" s="343"/>
      <c r="M29" s="197"/>
      <c r="N29" s="363"/>
      <c r="P29" s="363"/>
      <c r="R29" s="343"/>
      <c r="S29" s="202"/>
      <c r="T29" s="340"/>
      <c r="V29" s="340"/>
      <c r="W29" s="202"/>
      <c r="X29" s="343"/>
      <c r="Z29" s="343"/>
      <c r="AA29" s="202"/>
      <c r="AB29" s="352"/>
    </row>
    <row r="30" spans="1:30" x14ac:dyDescent="0.25">
      <c r="A30" s="197" t="s">
        <v>8</v>
      </c>
      <c r="B30" s="356"/>
      <c r="C30" s="202" t="s">
        <v>181</v>
      </c>
      <c r="D30" s="199"/>
      <c r="E30" s="197" t="s">
        <v>8</v>
      </c>
      <c r="F30" s="356"/>
      <c r="G30" s="202" t="s">
        <v>181</v>
      </c>
      <c r="H30" s="343"/>
      <c r="I30" s="197" t="s">
        <v>8</v>
      </c>
      <c r="J30" s="343"/>
      <c r="K30" s="202" t="s">
        <v>181</v>
      </c>
      <c r="L30" s="343"/>
      <c r="M30" s="197" t="s">
        <v>8</v>
      </c>
      <c r="N30" s="363"/>
      <c r="O30" s="202" t="s">
        <v>181</v>
      </c>
      <c r="P30" s="363"/>
      <c r="Q30" s="197" t="s">
        <v>8</v>
      </c>
      <c r="R30" s="343"/>
      <c r="S30" s="202" t="s">
        <v>181</v>
      </c>
      <c r="T30" s="340"/>
      <c r="U30" s="197" t="s">
        <v>8</v>
      </c>
      <c r="V30" s="340"/>
      <c r="W30" s="202" t="s">
        <v>181</v>
      </c>
      <c r="X30" s="343"/>
      <c r="Y30" s="197" t="s">
        <v>8</v>
      </c>
      <c r="Z30" s="343"/>
      <c r="AA30" s="202" t="s">
        <v>181</v>
      </c>
      <c r="AB30" s="352"/>
      <c r="AC30" s="197" t="s">
        <v>8</v>
      </c>
    </row>
    <row r="31" spans="1:30" x14ac:dyDescent="0.25">
      <c r="B31" s="356"/>
      <c r="D31" s="198"/>
      <c r="E31" s="197"/>
      <c r="F31" s="356"/>
      <c r="G31" s="202"/>
      <c r="H31" s="343"/>
      <c r="J31" s="343"/>
      <c r="K31" s="202"/>
      <c r="L31" s="343"/>
      <c r="M31" s="197"/>
      <c r="N31" s="363"/>
      <c r="P31" s="363"/>
      <c r="R31" s="343"/>
      <c r="S31" s="202"/>
      <c r="T31" s="340"/>
      <c r="V31" s="340"/>
      <c r="W31" s="202"/>
      <c r="X31" s="343"/>
      <c r="Z31" s="343"/>
      <c r="AA31" s="202"/>
      <c r="AB31" s="352"/>
    </row>
    <row r="32" spans="1:30" x14ac:dyDescent="0.25">
      <c r="B32" s="356"/>
      <c r="C32" s="202" t="s">
        <v>182</v>
      </c>
      <c r="D32" s="198"/>
      <c r="E32" s="197"/>
      <c r="F32" s="356"/>
      <c r="G32" s="202" t="s">
        <v>182</v>
      </c>
      <c r="H32" s="343"/>
      <c r="J32" s="343"/>
      <c r="K32" s="202" t="s">
        <v>182</v>
      </c>
      <c r="L32" s="343"/>
      <c r="M32" s="197"/>
      <c r="N32" s="363"/>
      <c r="O32" s="202" t="s">
        <v>182</v>
      </c>
      <c r="P32" s="363"/>
      <c r="R32" s="343"/>
      <c r="S32" s="202" t="s">
        <v>182</v>
      </c>
      <c r="T32" s="340"/>
      <c r="V32" s="340"/>
      <c r="W32" s="202" t="s">
        <v>182</v>
      </c>
      <c r="X32" s="343"/>
      <c r="Z32" s="343"/>
      <c r="AA32" s="202" t="s">
        <v>182</v>
      </c>
      <c r="AB32" s="352"/>
    </row>
    <row r="33" spans="1:29" x14ac:dyDescent="0.25">
      <c r="B33" s="356"/>
      <c r="D33" s="198"/>
      <c r="E33" s="197"/>
      <c r="F33" s="356"/>
      <c r="G33" s="202"/>
      <c r="H33" s="343"/>
      <c r="J33" s="343"/>
      <c r="K33" s="202"/>
      <c r="L33" s="343"/>
      <c r="M33" s="197"/>
      <c r="N33" s="363"/>
      <c r="P33" s="363"/>
      <c r="R33" s="343"/>
      <c r="S33" s="202"/>
      <c r="T33" s="340"/>
      <c r="V33" s="340"/>
      <c r="W33" s="202"/>
      <c r="X33" s="343"/>
      <c r="Z33" s="343"/>
      <c r="AA33" s="202"/>
      <c r="AB33" s="352"/>
    </row>
    <row r="34" spans="1:29" ht="15.75" thickBot="1" x14ac:dyDescent="0.3">
      <c r="A34" s="205" t="s">
        <v>0</v>
      </c>
      <c r="B34" s="362"/>
      <c r="C34" s="208" t="s">
        <v>183</v>
      </c>
      <c r="D34" s="199"/>
      <c r="E34" s="205" t="s">
        <v>0</v>
      </c>
      <c r="F34" s="362"/>
      <c r="G34" s="208" t="s">
        <v>183</v>
      </c>
      <c r="H34" s="350"/>
      <c r="I34" s="205" t="s">
        <v>0</v>
      </c>
      <c r="J34" s="350"/>
      <c r="K34" s="208" t="s">
        <v>183</v>
      </c>
      <c r="L34" s="350"/>
      <c r="M34" s="205" t="s">
        <v>0</v>
      </c>
      <c r="N34" s="364"/>
      <c r="O34" s="208" t="s">
        <v>183</v>
      </c>
      <c r="P34" s="364"/>
      <c r="Q34" s="209" t="s">
        <v>0</v>
      </c>
      <c r="R34" s="344"/>
      <c r="S34" s="208" t="s">
        <v>183</v>
      </c>
      <c r="T34" s="340"/>
      <c r="U34" s="209" t="s">
        <v>0</v>
      </c>
      <c r="V34" s="340"/>
      <c r="W34" s="208" t="s">
        <v>183</v>
      </c>
      <c r="X34" s="350"/>
      <c r="Y34" s="209" t="s">
        <v>0</v>
      </c>
      <c r="Z34" s="350"/>
      <c r="AA34" s="208" t="s">
        <v>183</v>
      </c>
      <c r="AB34" s="352"/>
      <c r="AC34" s="209" t="s">
        <v>0</v>
      </c>
    </row>
    <row r="35" spans="1:29" ht="15.75" customHeight="1" thickBot="1" x14ac:dyDescent="0.3">
      <c r="B35" s="204" t="s">
        <v>184</v>
      </c>
      <c r="D35" s="198"/>
      <c r="E35" s="197"/>
      <c r="F35" s="204" t="s">
        <v>184</v>
      </c>
      <c r="G35" s="202"/>
      <c r="H35" s="204" t="s">
        <v>184</v>
      </c>
      <c r="J35" s="198"/>
      <c r="K35" s="202"/>
      <c r="L35" s="349" t="s">
        <v>179</v>
      </c>
      <c r="M35" s="197"/>
      <c r="N35" s="349" t="s">
        <v>173</v>
      </c>
      <c r="P35" s="349" t="s">
        <v>173</v>
      </c>
      <c r="R35" s="204" t="s">
        <v>184</v>
      </c>
      <c r="S35" s="202"/>
      <c r="T35" s="345" t="s">
        <v>249</v>
      </c>
      <c r="V35" s="279" t="s">
        <v>250</v>
      </c>
      <c r="W35" s="202"/>
      <c r="X35" s="349" t="s">
        <v>173</v>
      </c>
      <c r="Z35" s="349" t="s">
        <v>179</v>
      </c>
      <c r="AA35" s="202"/>
      <c r="AB35" s="352"/>
    </row>
    <row r="36" spans="1:29" ht="15.75" thickBot="1" x14ac:dyDescent="0.3">
      <c r="B36" s="204" t="s">
        <v>185</v>
      </c>
      <c r="C36" s="202" t="s">
        <v>186</v>
      </c>
      <c r="D36" s="198"/>
      <c r="E36" s="197"/>
      <c r="F36" s="204" t="s">
        <v>185</v>
      </c>
      <c r="G36" s="202" t="s">
        <v>186</v>
      </c>
      <c r="H36" s="204" t="s">
        <v>185</v>
      </c>
      <c r="J36" s="198"/>
      <c r="K36" s="202" t="s">
        <v>186</v>
      </c>
      <c r="L36" s="343"/>
      <c r="M36" s="197"/>
      <c r="N36" s="343"/>
      <c r="O36" s="202" t="s">
        <v>186</v>
      </c>
      <c r="P36" s="343"/>
      <c r="R36" s="204" t="s">
        <v>185</v>
      </c>
      <c r="S36" s="202" t="s">
        <v>186</v>
      </c>
      <c r="T36" s="346"/>
      <c r="V36" s="279" t="s">
        <v>250</v>
      </c>
      <c r="W36" s="202" t="s">
        <v>186</v>
      </c>
      <c r="X36" s="343"/>
      <c r="Z36" s="343"/>
      <c r="AA36" s="202" t="s">
        <v>186</v>
      </c>
      <c r="AB36" s="352"/>
    </row>
    <row r="37" spans="1:29" ht="15" customHeight="1" thickBot="1" x14ac:dyDescent="0.3">
      <c r="B37" s="347" t="s">
        <v>187</v>
      </c>
      <c r="D37" s="198"/>
      <c r="E37" s="197"/>
      <c r="F37" s="198"/>
      <c r="G37" s="202"/>
      <c r="H37" s="198"/>
      <c r="J37" s="198"/>
      <c r="K37" s="202"/>
      <c r="L37" s="343"/>
      <c r="M37" s="197"/>
      <c r="N37" s="343"/>
      <c r="P37" s="343"/>
      <c r="R37" s="273" t="s">
        <v>251</v>
      </c>
      <c r="S37" s="202"/>
      <c r="T37" s="345" t="s">
        <v>249</v>
      </c>
      <c r="V37" s="279" t="s">
        <v>250</v>
      </c>
      <c r="W37" s="202"/>
      <c r="X37" s="343"/>
      <c r="Z37" s="343"/>
      <c r="AA37" s="202"/>
      <c r="AB37" s="352"/>
    </row>
    <row r="38" spans="1:29" ht="15.75" thickBot="1" x14ac:dyDescent="0.3">
      <c r="A38" s="197" t="s">
        <v>8</v>
      </c>
      <c r="B38" s="348"/>
      <c r="C38" s="202" t="s">
        <v>188</v>
      </c>
      <c r="D38" s="199"/>
      <c r="E38" s="197" t="s">
        <v>8</v>
      </c>
      <c r="F38" s="199"/>
      <c r="G38" s="202" t="s">
        <v>188</v>
      </c>
      <c r="H38" s="199"/>
      <c r="I38" s="197" t="s">
        <v>8</v>
      </c>
      <c r="J38" s="199"/>
      <c r="K38" s="202" t="s">
        <v>188</v>
      </c>
      <c r="L38" s="343"/>
      <c r="M38" s="197" t="s">
        <v>8</v>
      </c>
      <c r="N38" s="343"/>
      <c r="O38" s="202" t="s">
        <v>188</v>
      </c>
      <c r="P38" s="343"/>
      <c r="Q38" s="197" t="s">
        <v>8</v>
      </c>
      <c r="R38" s="273" t="s">
        <v>252</v>
      </c>
      <c r="S38" s="202" t="s">
        <v>188</v>
      </c>
      <c r="T38" s="346"/>
      <c r="U38" s="197" t="s">
        <v>8</v>
      </c>
      <c r="V38" s="279" t="s">
        <v>250</v>
      </c>
      <c r="W38" s="202" t="s">
        <v>188</v>
      </c>
      <c r="X38" s="350"/>
      <c r="Y38" s="197" t="s">
        <v>8</v>
      </c>
      <c r="Z38" s="343"/>
      <c r="AA38" s="202" t="s">
        <v>188</v>
      </c>
      <c r="AB38" s="352"/>
      <c r="AC38" s="197" t="s">
        <v>8</v>
      </c>
    </row>
    <row r="39" spans="1:29" ht="15" customHeight="1" thickBot="1" x14ac:dyDescent="0.3">
      <c r="B39" s="198"/>
      <c r="D39" s="198"/>
      <c r="E39" s="197"/>
      <c r="F39" s="198"/>
      <c r="G39" s="202"/>
      <c r="H39" s="198"/>
      <c r="J39" s="198"/>
      <c r="K39" s="202"/>
      <c r="L39" s="343"/>
      <c r="M39" s="197"/>
      <c r="N39" s="349" t="s">
        <v>189</v>
      </c>
      <c r="P39" s="349" t="s">
        <v>189</v>
      </c>
      <c r="R39" s="280" t="s">
        <v>253</v>
      </c>
      <c r="S39" s="202"/>
      <c r="T39" s="345" t="s">
        <v>249</v>
      </c>
      <c r="V39" s="279" t="s">
        <v>250</v>
      </c>
      <c r="W39" s="202"/>
      <c r="X39" s="349" t="s">
        <v>174</v>
      </c>
      <c r="Z39" s="343"/>
      <c r="AA39" s="202"/>
      <c r="AB39" s="352"/>
    </row>
    <row r="40" spans="1:29" ht="15.75" thickBot="1" x14ac:dyDescent="0.3">
      <c r="B40" s="198"/>
      <c r="C40" s="202" t="s">
        <v>190</v>
      </c>
      <c r="D40" s="198"/>
      <c r="E40" s="197"/>
      <c r="F40" s="198"/>
      <c r="G40" s="202" t="s">
        <v>190</v>
      </c>
      <c r="H40" s="198"/>
      <c r="J40" s="198"/>
      <c r="K40" s="202" t="s">
        <v>190</v>
      </c>
      <c r="L40" s="343"/>
      <c r="M40" s="197"/>
      <c r="N40" s="350"/>
      <c r="O40" s="202" t="s">
        <v>190</v>
      </c>
      <c r="P40" s="350"/>
      <c r="R40" s="280" t="s">
        <v>254</v>
      </c>
      <c r="S40" s="202" t="s">
        <v>190</v>
      </c>
      <c r="T40" s="346"/>
      <c r="V40" s="279" t="s">
        <v>250</v>
      </c>
      <c r="W40" s="202" t="s">
        <v>190</v>
      </c>
      <c r="X40" s="343"/>
      <c r="Z40" s="343"/>
      <c r="AA40" s="202" t="s">
        <v>190</v>
      </c>
      <c r="AB40" s="352"/>
    </row>
    <row r="41" spans="1:29" ht="15" customHeight="1" thickBot="1" x14ac:dyDescent="0.3">
      <c r="B41" s="345" t="s">
        <v>249</v>
      </c>
      <c r="D41" s="198"/>
      <c r="E41" s="197"/>
      <c r="F41" s="345" t="s">
        <v>249</v>
      </c>
      <c r="G41" s="202"/>
      <c r="H41" s="345" t="s">
        <v>249</v>
      </c>
      <c r="J41" s="198"/>
      <c r="K41" s="202"/>
      <c r="L41" s="343"/>
      <c r="M41" s="197"/>
      <c r="N41" s="349" t="s">
        <v>174</v>
      </c>
      <c r="P41" s="349" t="s">
        <v>174</v>
      </c>
      <c r="R41" s="345" t="s">
        <v>249</v>
      </c>
      <c r="S41" s="202"/>
      <c r="T41" s="345" t="s">
        <v>249</v>
      </c>
      <c r="V41" s="279" t="s">
        <v>250</v>
      </c>
      <c r="W41" s="202"/>
      <c r="X41" s="343"/>
      <c r="Z41" s="343"/>
      <c r="AA41" s="202"/>
      <c r="AB41" s="352"/>
    </row>
    <row r="42" spans="1:29" ht="15.75" thickBot="1" x14ac:dyDescent="0.3">
      <c r="A42" s="206" t="s">
        <v>1</v>
      </c>
      <c r="B42" s="346"/>
      <c r="C42" s="202" t="s">
        <v>191</v>
      </c>
      <c r="D42" s="199"/>
      <c r="E42" s="206" t="s">
        <v>1</v>
      </c>
      <c r="F42" s="346"/>
      <c r="G42" s="202" t="s">
        <v>191</v>
      </c>
      <c r="H42" s="346"/>
      <c r="I42" s="206" t="s">
        <v>1</v>
      </c>
      <c r="J42" s="199"/>
      <c r="K42" s="202" t="s">
        <v>191</v>
      </c>
      <c r="L42" s="350"/>
      <c r="M42" s="206" t="s">
        <v>1</v>
      </c>
      <c r="N42" s="350"/>
      <c r="O42" s="202" t="s">
        <v>191</v>
      </c>
      <c r="P42" s="350"/>
      <c r="Q42" s="206" t="s">
        <v>1</v>
      </c>
      <c r="R42" s="346"/>
      <c r="S42" s="202" t="s">
        <v>191</v>
      </c>
      <c r="T42" s="346"/>
      <c r="U42" s="206" t="s">
        <v>1</v>
      </c>
      <c r="V42" s="279" t="s">
        <v>250</v>
      </c>
      <c r="W42" s="202" t="s">
        <v>191</v>
      </c>
      <c r="X42" s="350"/>
      <c r="Y42" s="206" t="s">
        <v>1</v>
      </c>
      <c r="Z42" s="350"/>
      <c r="AA42" s="202" t="s">
        <v>191</v>
      </c>
      <c r="AB42" s="352"/>
      <c r="AC42" s="206" t="s">
        <v>1</v>
      </c>
    </row>
    <row r="43" spans="1:29" ht="15.75" thickBot="1" x14ac:dyDescent="0.3">
      <c r="B43" s="204" t="s">
        <v>184</v>
      </c>
      <c r="D43" s="198"/>
      <c r="E43" s="197"/>
      <c r="F43" s="204" t="s">
        <v>184</v>
      </c>
      <c r="G43" s="202"/>
      <c r="H43" s="204" t="s">
        <v>184</v>
      </c>
      <c r="J43" s="198"/>
      <c r="K43" s="202"/>
      <c r="L43" s="349" t="s">
        <v>192</v>
      </c>
      <c r="M43" s="197"/>
      <c r="N43" s="349" t="s">
        <v>179</v>
      </c>
      <c r="P43" s="349" t="s">
        <v>179</v>
      </c>
      <c r="R43" s="204" t="s">
        <v>184</v>
      </c>
      <c r="S43" s="202"/>
      <c r="T43" s="198"/>
      <c r="V43" s="279" t="s">
        <v>250</v>
      </c>
      <c r="W43" s="202"/>
      <c r="X43" s="349" t="s">
        <v>179</v>
      </c>
      <c r="Z43" s="349" t="s">
        <v>192</v>
      </c>
      <c r="AA43" s="202"/>
      <c r="AB43" s="352"/>
    </row>
    <row r="44" spans="1:29" ht="15.75" thickBot="1" x14ac:dyDescent="0.3">
      <c r="B44" s="204" t="s">
        <v>185</v>
      </c>
      <c r="C44" s="202" t="s">
        <v>193</v>
      </c>
      <c r="D44" s="198"/>
      <c r="E44" s="197"/>
      <c r="F44" s="204" t="s">
        <v>185</v>
      </c>
      <c r="G44" s="202" t="s">
        <v>193</v>
      </c>
      <c r="H44" s="204" t="s">
        <v>185</v>
      </c>
      <c r="J44" s="198"/>
      <c r="K44" s="202" t="s">
        <v>193</v>
      </c>
      <c r="L44" s="343"/>
      <c r="M44" s="197"/>
      <c r="N44" s="343"/>
      <c r="O44" s="202" t="s">
        <v>193</v>
      </c>
      <c r="P44" s="343"/>
      <c r="Q44" s="197" t="s">
        <v>19</v>
      </c>
      <c r="R44" s="204" t="s">
        <v>185</v>
      </c>
      <c r="S44" s="202" t="s">
        <v>193</v>
      </c>
      <c r="T44" s="198"/>
      <c r="V44" s="279" t="s">
        <v>250</v>
      </c>
      <c r="W44" s="202" t="s">
        <v>193</v>
      </c>
      <c r="X44" s="343"/>
      <c r="Z44" s="343"/>
      <c r="AA44" s="202" t="s">
        <v>193</v>
      </c>
      <c r="AB44" s="352"/>
    </row>
    <row r="45" spans="1:29" ht="15.75" thickBot="1" x14ac:dyDescent="0.3">
      <c r="B45" s="347" t="s">
        <v>187</v>
      </c>
      <c r="D45" s="198"/>
      <c r="E45" s="197"/>
      <c r="F45" s="198"/>
      <c r="G45" s="202"/>
      <c r="H45" s="198"/>
      <c r="J45" s="198"/>
      <c r="K45" s="202"/>
      <c r="L45" s="343"/>
      <c r="M45" s="197"/>
      <c r="N45" s="343"/>
      <c r="P45" s="343"/>
      <c r="R45" s="349" t="s">
        <v>255</v>
      </c>
      <c r="S45" s="202"/>
      <c r="T45" s="198"/>
      <c r="V45" s="279" t="s">
        <v>250</v>
      </c>
      <c r="W45" s="202"/>
      <c r="X45" s="343"/>
      <c r="Z45" s="343"/>
      <c r="AA45" s="202"/>
      <c r="AB45" s="352"/>
    </row>
    <row r="46" spans="1:29" ht="15.75" thickBot="1" x14ac:dyDescent="0.3">
      <c r="A46" s="197" t="s">
        <v>8</v>
      </c>
      <c r="B46" s="348"/>
      <c r="C46" s="202" t="s">
        <v>194</v>
      </c>
      <c r="D46" s="199"/>
      <c r="E46" s="197" t="s">
        <v>8</v>
      </c>
      <c r="F46" s="199"/>
      <c r="G46" s="202" t="s">
        <v>194</v>
      </c>
      <c r="H46" s="199"/>
      <c r="I46" s="197" t="s">
        <v>8</v>
      </c>
      <c r="J46" s="199"/>
      <c r="K46" s="202" t="s">
        <v>194</v>
      </c>
      <c r="L46" s="350"/>
      <c r="M46" s="197" t="s">
        <v>8</v>
      </c>
      <c r="N46" s="343"/>
      <c r="O46" s="202" t="s">
        <v>194</v>
      </c>
      <c r="P46" s="343"/>
      <c r="Q46" s="197" t="s">
        <v>8</v>
      </c>
      <c r="R46" s="350"/>
      <c r="S46" s="202" t="s">
        <v>194</v>
      </c>
      <c r="T46" s="199"/>
      <c r="U46" s="197" t="s">
        <v>8</v>
      </c>
      <c r="V46" s="279" t="s">
        <v>250</v>
      </c>
      <c r="W46" s="202" t="s">
        <v>194</v>
      </c>
      <c r="X46" s="343"/>
      <c r="Y46" s="197" t="s">
        <v>8</v>
      </c>
      <c r="Z46" s="350"/>
      <c r="AA46" s="202" t="s">
        <v>194</v>
      </c>
      <c r="AB46" s="352"/>
      <c r="AC46" s="197" t="s">
        <v>8</v>
      </c>
    </row>
    <row r="47" spans="1:29" ht="15.75" thickBot="1" x14ac:dyDescent="0.3">
      <c r="B47" s="198"/>
      <c r="D47" s="198"/>
      <c r="E47" s="197"/>
      <c r="F47" s="198"/>
      <c r="G47" s="202"/>
      <c r="H47" s="198"/>
      <c r="J47" s="198"/>
      <c r="K47" s="202"/>
      <c r="L47" s="198"/>
      <c r="M47" s="197"/>
      <c r="N47" s="343"/>
      <c r="P47" s="343"/>
      <c r="R47" s="349" t="s">
        <v>256</v>
      </c>
      <c r="S47" s="202"/>
      <c r="T47" s="279" t="s">
        <v>250</v>
      </c>
      <c r="V47" s="279" t="s">
        <v>250</v>
      </c>
      <c r="W47" s="202"/>
      <c r="X47" s="343"/>
      <c r="Z47" s="279" t="s">
        <v>250</v>
      </c>
      <c r="AA47" s="202"/>
      <c r="AB47" s="352"/>
    </row>
    <row r="48" spans="1:29" ht="15.75" thickBot="1" x14ac:dyDescent="0.3">
      <c r="B48" s="198"/>
      <c r="C48" s="202" t="s">
        <v>195</v>
      </c>
      <c r="D48" s="198"/>
      <c r="E48" s="197"/>
      <c r="F48" s="198"/>
      <c r="G48" s="202" t="s">
        <v>195</v>
      </c>
      <c r="H48" s="198"/>
      <c r="J48" s="198"/>
      <c r="K48" s="202" t="s">
        <v>195</v>
      </c>
      <c r="L48" s="198"/>
      <c r="M48" s="197"/>
      <c r="N48" s="343"/>
      <c r="O48" s="202" t="s">
        <v>195</v>
      </c>
      <c r="P48" s="343"/>
      <c r="Q48" s="197" t="s">
        <v>19</v>
      </c>
      <c r="R48" s="350"/>
      <c r="S48" s="202" t="s">
        <v>195</v>
      </c>
      <c r="T48" s="279" t="s">
        <v>250</v>
      </c>
      <c r="V48" s="279" t="s">
        <v>250</v>
      </c>
      <c r="W48" s="202" t="s">
        <v>195</v>
      </c>
      <c r="X48" s="350"/>
      <c r="Z48" s="279" t="s">
        <v>250</v>
      </c>
      <c r="AA48" s="202" t="s">
        <v>195</v>
      </c>
      <c r="AB48" s="352"/>
    </row>
    <row r="49" spans="1:29" ht="15" customHeight="1" thickBot="1" x14ac:dyDescent="0.3">
      <c r="B49" s="345" t="s">
        <v>249</v>
      </c>
      <c r="D49" s="198"/>
      <c r="E49" s="197"/>
      <c r="F49" s="345" t="s">
        <v>249</v>
      </c>
      <c r="G49" s="202"/>
      <c r="H49" s="345" t="s">
        <v>249</v>
      </c>
      <c r="J49" s="198"/>
      <c r="K49" s="202"/>
      <c r="L49" s="345" t="s">
        <v>249</v>
      </c>
      <c r="M49" s="197"/>
      <c r="N49" s="343"/>
      <c r="P49" s="368" t="s">
        <v>257</v>
      </c>
      <c r="R49" s="345" t="s">
        <v>249</v>
      </c>
      <c r="S49" s="202"/>
      <c r="T49" s="279" t="s">
        <v>250</v>
      </c>
      <c r="V49" s="279" t="s">
        <v>250</v>
      </c>
      <c r="W49" s="202"/>
      <c r="X49" s="279" t="s">
        <v>250</v>
      </c>
      <c r="Z49" s="279" t="s">
        <v>250</v>
      </c>
      <c r="AA49" s="202"/>
      <c r="AB49" s="352"/>
    </row>
    <row r="50" spans="1:29" ht="15.75" thickBot="1" x14ac:dyDescent="0.3">
      <c r="A50" s="205" t="s">
        <v>33</v>
      </c>
      <c r="B50" s="346"/>
      <c r="C50" s="208" t="s">
        <v>196</v>
      </c>
      <c r="D50" s="199"/>
      <c r="E50" s="205" t="s">
        <v>33</v>
      </c>
      <c r="F50" s="346"/>
      <c r="G50" s="208" t="s">
        <v>196</v>
      </c>
      <c r="H50" s="346"/>
      <c r="I50" s="205" t="s">
        <v>33</v>
      </c>
      <c r="J50" s="199"/>
      <c r="K50" s="208" t="s">
        <v>196</v>
      </c>
      <c r="L50" s="346"/>
      <c r="M50" s="205" t="s">
        <v>33</v>
      </c>
      <c r="N50" s="350"/>
      <c r="O50" s="208" t="s">
        <v>196</v>
      </c>
      <c r="P50" s="369"/>
      <c r="Q50" s="209" t="s">
        <v>33</v>
      </c>
      <c r="R50" s="346"/>
      <c r="S50" s="208" t="s">
        <v>196</v>
      </c>
      <c r="T50" s="203" t="s">
        <v>197</v>
      </c>
      <c r="U50" s="209" t="s">
        <v>33</v>
      </c>
      <c r="V50" s="203" t="s">
        <v>197</v>
      </c>
      <c r="W50" s="208" t="s">
        <v>196</v>
      </c>
      <c r="X50" s="203" t="s">
        <v>197</v>
      </c>
      <c r="Y50" s="209" t="s">
        <v>33</v>
      </c>
      <c r="Z50" s="203" t="s">
        <v>197</v>
      </c>
      <c r="AA50" s="208" t="s">
        <v>196</v>
      </c>
      <c r="AB50" s="352"/>
      <c r="AC50" s="209" t="s">
        <v>33</v>
      </c>
    </row>
    <row r="51" spans="1:29" ht="15.75" thickBot="1" x14ac:dyDescent="0.3">
      <c r="B51" s="204" t="s">
        <v>184</v>
      </c>
      <c r="D51" s="198"/>
      <c r="E51" s="197"/>
      <c r="F51" s="204" t="s">
        <v>184</v>
      </c>
      <c r="G51" s="202"/>
      <c r="H51" s="204" t="s">
        <v>184</v>
      </c>
      <c r="J51" s="198"/>
      <c r="K51" s="202"/>
      <c r="L51" s="204" t="s">
        <v>184</v>
      </c>
      <c r="M51" s="197"/>
      <c r="N51" s="204" t="s">
        <v>184</v>
      </c>
      <c r="P51" s="204" t="s">
        <v>184</v>
      </c>
      <c r="R51" s="204" t="s">
        <v>184</v>
      </c>
      <c r="S51" s="202"/>
      <c r="T51" s="210"/>
      <c r="V51" s="365" t="s">
        <v>227</v>
      </c>
      <c r="W51" s="202"/>
      <c r="X51" s="365" t="s">
        <v>227</v>
      </c>
      <c r="Z51" s="365" t="s">
        <v>227</v>
      </c>
      <c r="AA51" s="202"/>
      <c r="AB51" s="352"/>
    </row>
    <row r="52" spans="1:29" ht="15.75" thickBot="1" x14ac:dyDescent="0.3">
      <c r="A52" s="197" t="s">
        <v>19</v>
      </c>
      <c r="B52" s="204" t="s">
        <v>185</v>
      </c>
      <c r="C52" s="202" t="s">
        <v>198</v>
      </c>
      <c r="D52" s="198"/>
      <c r="E52" s="197" t="s">
        <v>19</v>
      </c>
      <c r="F52" s="204" t="s">
        <v>185</v>
      </c>
      <c r="G52" s="202" t="s">
        <v>198</v>
      </c>
      <c r="H52" s="204" t="s">
        <v>185</v>
      </c>
      <c r="I52" s="197" t="s">
        <v>19</v>
      </c>
      <c r="J52" s="198"/>
      <c r="K52" s="202" t="s">
        <v>198</v>
      </c>
      <c r="L52" s="204" t="s">
        <v>185</v>
      </c>
      <c r="M52" s="197" t="s">
        <v>19</v>
      </c>
      <c r="N52" s="204" t="s">
        <v>185</v>
      </c>
      <c r="O52" s="202" t="s">
        <v>198</v>
      </c>
      <c r="P52" s="204" t="s">
        <v>185</v>
      </c>
      <c r="Q52" s="197" t="s">
        <v>19</v>
      </c>
      <c r="R52" s="204" t="s">
        <v>185</v>
      </c>
      <c r="S52" s="202" t="s">
        <v>198</v>
      </c>
      <c r="T52" s="210"/>
      <c r="U52" s="197" t="s">
        <v>19</v>
      </c>
      <c r="V52" s="366"/>
      <c r="W52" s="202" t="s">
        <v>198</v>
      </c>
      <c r="X52" s="366"/>
      <c r="Y52" s="197" t="s">
        <v>19</v>
      </c>
      <c r="Z52" s="366"/>
      <c r="AA52" s="202" t="s">
        <v>198</v>
      </c>
      <c r="AB52" s="352"/>
      <c r="AC52" s="197" t="s">
        <v>19</v>
      </c>
    </row>
    <row r="53" spans="1:29" x14ac:dyDescent="0.25">
      <c r="B53" s="347" t="s">
        <v>187</v>
      </c>
      <c r="D53" s="198"/>
      <c r="E53" s="197"/>
      <c r="F53" s="198"/>
      <c r="G53" s="202"/>
      <c r="H53" s="198"/>
      <c r="J53" s="198"/>
      <c r="K53" s="202"/>
      <c r="L53" s="198"/>
      <c r="M53" s="197"/>
      <c r="N53" s="198"/>
      <c r="P53" s="198"/>
      <c r="R53" s="349" t="s">
        <v>258</v>
      </c>
      <c r="S53" s="202"/>
      <c r="T53" s="210"/>
      <c r="V53" s="366"/>
      <c r="W53" s="202"/>
      <c r="X53" s="366"/>
      <c r="Z53" s="366"/>
      <c r="AA53" s="202"/>
      <c r="AB53" s="352"/>
    </row>
    <row r="54" spans="1:29" ht="15.75" thickBot="1" x14ac:dyDescent="0.3">
      <c r="A54" s="197" t="s">
        <v>8</v>
      </c>
      <c r="B54" s="348"/>
      <c r="C54" s="202" t="s">
        <v>199</v>
      </c>
      <c r="D54" s="199"/>
      <c r="E54" s="197" t="s">
        <v>8</v>
      </c>
      <c r="F54" s="199"/>
      <c r="G54" s="202" t="s">
        <v>199</v>
      </c>
      <c r="H54" s="199"/>
      <c r="I54" s="197" t="s">
        <v>8</v>
      </c>
      <c r="J54" s="199"/>
      <c r="K54" s="202" t="s">
        <v>199</v>
      </c>
      <c r="L54" s="198"/>
      <c r="M54" s="197" t="s">
        <v>8</v>
      </c>
      <c r="N54" s="199"/>
      <c r="O54" s="202" t="s">
        <v>199</v>
      </c>
      <c r="P54" s="199"/>
      <c r="Q54" s="197" t="s">
        <v>8</v>
      </c>
      <c r="R54" s="350"/>
      <c r="S54" s="202" t="s">
        <v>199</v>
      </c>
      <c r="T54" s="210"/>
      <c r="U54" s="197" t="s">
        <v>8</v>
      </c>
      <c r="V54" s="366"/>
      <c r="W54" s="202" t="s">
        <v>199</v>
      </c>
      <c r="X54" s="366"/>
      <c r="Y54" s="197" t="s">
        <v>8</v>
      </c>
      <c r="Z54" s="366"/>
      <c r="AA54" s="202" t="s">
        <v>199</v>
      </c>
      <c r="AB54" s="352"/>
      <c r="AC54" s="197" t="s">
        <v>8</v>
      </c>
    </row>
    <row r="55" spans="1:29" x14ac:dyDescent="0.25">
      <c r="B55" s="198"/>
      <c r="D55" s="198"/>
      <c r="E55" s="197"/>
      <c r="F55" s="198"/>
      <c r="G55" s="202"/>
      <c r="H55" s="198"/>
      <c r="J55" s="198"/>
      <c r="K55" s="202"/>
      <c r="L55" s="198"/>
      <c r="M55" s="197"/>
      <c r="N55" s="198"/>
      <c r="P55" s="198"/>
      <c r="R55" s="349" t="s">
        <v>259</v>
      </c>
      <c r="S55" s="202"/>
      <c r="T55" s="210"/>
      <c r="V55" s="366"/>
      <c r="W55" s="202"/>
      <c r="X55" s="366"/>
      <c r="Z55" s="366"/>
      <c r="AA55" s="202"/>
      <c r="AB55" s="352"/>
    </row>
    <row r="56" spans="1:29" ht="15.75" thickBot="1" x14ac:dyDescent="0.3">
      <c r="A56" s="197" t="s">
        <v>19</v>
      </c>
      <c r="B56" s="198"/>
      <c r="C56" s="202" t="s">
        <v>200</v>
      </c>
      <c r="D56" s="198"/>
      <c r="E56" s="197" t="s">
        <v>19</v>
      </c>
      <c r="F56" s="198"/>
      <c r="G56" s="202" t="s">
        <v>200</v>
      </c>
      <c r="H56" s="198"/>
      <c r="I56" s="197" t="s">
        <v>19</v>
      </c>
      <c r="J56" s="198"/>
      <c r="K56" s="202" t="s">
        <v>200</v>
      </c>
      <c r="L56" s="198"/>
      <c r="M56" s="197" t="s">
        <v>19</v>
      </c>
      <c r="N56" s="198"/>
      <c r="O56" s="202" t="s">
        <v>200</v>
      </c>
      <c r="P56" s="198"/>
      <c r="Q56" s="197" t="s">
        <v>19</v>
      </c>
      <c r="R56" s="350"/>
      <c r="S56" s="202" t="s">
        <v>200</v>
      </c>
      <c r="T56" s="210"/>
      <c r="U56" s="197" t="s">
        <v>19</v>
      </c>
      <c r="V56" s="366"/>
      <c r="W56" s="202" t="s">
        <v>200</v>
      </c>
      <c r="X56" s="366"/>
      <c r="Y56" s="197" t="s">
        <v>19</v>
      </c>
      <c r="Z56" s="366"/>
      <c r="AA56" s="202" t="s">
        <v>200</v>
      </c>
      <c r="AB56" s="352"/>
      <c r="AC56" s="197" t="s">
        <v>19</v>
      </c>
    </row>
    <row r="57" spans="1:29" ht="15" customHeight="1" x14ac:dyDescent="0.25">
      <c r="B57" s="345" t="s">
        <v>249</v>
      </c>
      <c r="D57" s="198"/>
      <c r="E57" s="197"/>
      <c r="F57" s="345" t="s">
        <v>249</v>
      </c>
      <c r="G57" s="202"/>
      <c r="H57" s="345" t="s">
        <v>249</v>
      </c>
      <c r="J57" s="198"/>
      <c r="K57" s="202"/>
      <c r="L57" s="345" t="s">
        <v>249</v>
      </c>
      <c r="M57" s="197"/>
      <c r="N57" s="345" t="s">
        <v>249</v>
      </c>
      <c r="P57" s="345" t="s">
        <v>260</v>
      </c>
      <c r="R57" s="345" t="s">
        <v>249</v>
      </c>
      <c r="S57" s="202"/>
      <c r="T57" s="210"/>
      <c r="V57" s="366"/>
      <c r="W57" s="202"/>
      <c r="X57" s="366"/>
      <c r="Z57" s="366"/>
      <c r="AA57" s="202"/>
      <c r="AB57" s="352"/>
    </row>
    <row r="58" spans="1:29" ht="15.75" thickBot="1" x14ac:dyDescent="0.3">
      <c r="A58" s="206" t="s">
        <v>1</v>
      </c>
      <c r="B58" s="346"/>
      <c r="C58" s="202" t="s">
        <v>201</v>
      </c>
      <c r="D58" s="199"/>
      <c r="E58" s="206" t="s">
        <v>1</v>
      </c>
      <c r="F58" s="346"/>
      <c r="G58" s="202" t="s">
        <v>201</v>
      </c>
      <c r="H58" s="346"/>
      <c r="I58" s="206" t="s">
        <v>1</v>
      </c>
      <c r="J58" s="199"/>
      <c r="K58" s="202" t="s">
        <v>201</v>
      </c>
      <c r="L58" s="346"/>
      <c r="M58" s="206" t="s">
        <v>1</v>
      </c>
      <c r="N58" s="346"/>
      <c r="O58" s="202" t="s">
        <v>201</v>
      </c>
      <c r="P58" s="346"/>
      <c r="Q58" s="206" t="s">
        <v>1</v>
      </c>
      <c r="R58" s="346"/>
      <c r="S58" s="202" t="s">
        <v>201</v>
      </c>
      <c r="T58" s="210"/>
      <c r="U58" s="206" t="s">
        <v>1</v>
      </c>
      <c r="V58" s="367"/>
      <c r="W58" s="202" t="s">
        <v>201</v>
      </c>
      <c r="X58" s="367"/>
      <c r="Y58" s="206" t="s">
        <v>1</v>
      </c>
      <c r="Z58" s="367"/>
      <c r="AA58" s="202" t="s">
        <v>201</v>
      </c>
      <c r="AB58" s="352"/>
      <c r="AC58" s="206" t="s">
        <v>1</v>
      </c>
    </row>
    <row r="59" spans="1:29" ht="15.75" thickBot="1" x14ac:dyDescent="0.3">
      <c r="B59" s="203" t="s">
        <v>202</v>
      </c>
      <c r="C59" s="202" t="s">
        <v>203</v>
      </c>
      <c r="D59" s="203" t="s">
        <v>202</v>
      </c>
      <c r="E59" s="197"/>
      <c r="F59" s="203" t="s">
        <v>202</v>
      </c>
      <c r="G59" s="202" t="s">
        <v>203</v>
      </c>
      <c r="H59" s="203" t="s">
        <v>202</v>
      </c>
      <c r="J59" s="203" t="s">
        <v>202</v>
      </c>
      <c r="K59" s="202" t="s">
        <v>203</v>
      </c>
      <c r="L59" s="203" t="s">
        <v>202</v>
      </c>
      <c r="M59" s="197"/>
      <c r="N59" s="203" t="s">
        <v>202</v>
      </c>
      <c r="O59" s="202" t="s">
        <v>203</v>
      </c>
      <c r="P59" s="203" t="s">
        <v>202</v>
      </c>
      <c r="R59" s="203" t="s">
        <v>202</v>
      </c>
      <c r="S59" s="202" t="s">
        <v>203</v>
      </c>
      <c r="T59" s="203" t="s">
        <v>202</v>
      </c>
      <c r="V59" s="203" t="s">
        <v>202</v>
      </c>
      <c r="W59" s="202" t="s">
        <v>203</v>
      </c>
      <c r="X59" s="203" t="s">
        <v>202</v>
      </c>
      <c r="Z59" s="203" t="s">
        <v>202</v>
      </c>
      <c r="AA59" s="202" t="s">
        <v>203</v>
      </c>
      <c r="AB59" s="352"/>
    </row>
    <row r="60" spans="1:29" ht="15.75" thickBot="1" x14ac:dyDescent="0.3">
      <c r="A60" s="197" t="s">
        <v>19</v>
      </c>
      <c r="B60" s="203" t="s">
        <v>204</v>
      </c>
      <c r="C60" s="202" t="s">
        <v>205</v>
      </c>
      <c r="D60" s="203" t="s">
        <v>204</v>
      </c>
      <c r="E60" s="197" t="s">
        <v>19</v>
      </c>
      <c r="F60" s="203" t="s">
        <v>204</v>
      </c>
      <c r="G60" s="202" t="s">
        <v>205</v>
      </c>
      <c r="H60" s="203" t="s">
        <v>204</v>
      </c>
      <c r="I60" s="197" t="s">
        <v>19</v>
      </c>
      <c r="J60" s="203" t="s">
        <v>204</v>
      </c>
      <c r="K60" s="202" t="s">
        <v>205</v>
      </c>
      <c r="L60" s="203" t="s">
        <v>204</v>
      </c>
      <c r="M60" s="197" t="s">
        <v>19</v>
      </c>
      <c r="N60" s="203" t="s">
        <v>204</v>
      </c>
      <c r="O60" s="202" t="s">
        <v>205</v>
      </c>
      <c r="P60" s="203" t="s">
        <v>204</v>
      </c>
      <c r="Q60" s="197" t="s">
        <v>19</v>
      </c>
      <c r="R60" s="203" t="s">
        <v>204</v>
      </c>
      <c r="S60" s="202" t="s">
        <v>205</v>
      </c>
      <c r="T60" s="203" t="s">
        <v>204</v>
      </c>
      <c r="U60" s="197" t="s">
        <v>19</v>
      </c>
      <c r="V60" s="203" t="s">
        <v>204</v>
      </c>
      <c r="W60" s="202" t="s">
        <v>205</v>
      </c>
      <c r="X60" s="203" t="s">
        <v>204</v>
      </c>
      <c r="Y60" s="197" t="s">
        <v>19</v>
      </c>
      <c r="Z60" s="203" t="s">
        <v>204</v>
      </c>
      <c r="AA60" s="202" t="s">
        <v>205</v>
      </c>
      <c r="AB60" s="352"/>
      <c r="AC60" s="197" t="s">
        <v>19</v>
      </c>
    </row>
    <row r="61" spans="1:29" x14ac:dyDescent="0.25">
      <c r="B61" s="347" t="s">
        <v>187</v>
      </c>
      <c r="D61" s="198"/>
      <c r="E61" s="197"/>
      <c r="F61" s="198"/>
      <c r="G61" s="202"/>
      <c r="H61" s="198"/>
      <c r="J61" s="198"/>
      <c r="K61" s="202"/>
      <c r="L61" s="198"/>
      <c r="M61" s="197"/>
      <c r="N61" s="372" t="s">
        <v>261</v>
      </c>
      <c r="P61" s="372" t="s">
        <v>261</v>
      </c>
      <c r="R61" s="349" t="s">
        <v>262</v>
      </c>
      <c r="S61" s="202"/>
      <c r="T61" s="210"/>
      <c r="V61" s="210"/>
      <c r="W61" s="202"/>
      <c r="X61" s="210"/>
      <c r="Z61" s="210"/>
      <c r="AA61" s="202"/>
      <c r="AB61" s="352"/>
    </row>
    <row r="62" spans="1:29" ht="15.75" thickBot="1" x14ac:dyDescent="0.3">
      <c r="A62" s="197" t="s">
        <v>8</v>
      </c>
      <c r="B62" s="348"/>
      <c r="C62" s="202" t="s">
        <v>206</v>
      </c>
      <c r="D62" s="199"/>
      <c r="E62" s="197" t="s">
        <v>8</v>
      </c>
      <c r="F62" s="199"/>
      <c r="G62" s="202" t="s">
        <v>206</v>
      </c>
      <c r="H62" s="199"/>
      <c r="I62" s="197" t="s">
        <v>8</v>
      </c>
      <c r="J62" s="199"/>
      <c r="K62" s="202" t="s">
        <v>206</v>
      </c>
      <c r="L62" s="198"/>
      <c r="M62" s="197" t="s">
        <v>8</v>
      </c>
      <c r="N62" s="350"/>
      <c r="O62" s="202" t="s">
        <v>206</v>
      </c>
      <c r="P62" s="350"/>
      <c r="Q62" s="197" t="s">
        <v>8</v>
      </c>
      <c r="R62" s="350"/>
      <c r="S62" s="202" t="s">
        <v>206</v>
      </c>
      <c r="T62" s="210"/>
      <c r="U62" s="197" t="s">
        <v>8</v>
      </c>
      <c r="V62" s="210"/>
      <c r="W62" s="202" t="s">
        <v>206</v>
      </c>
      <c r="X62" s="210"/>
      <c r="Y62" s="197" t="s">
        <v>8</v>
      </c>
      <c r="Z62" s="210"/>
      <c r="AA62" s="202" t="s">
        <v>206</v>
      </c>
      <c r="AB62" s="352"/>
      <c r="AC62" s="197" t="s">
        <v>8</v>
      </c>
    </row>
    <row r="63" spans="1:29" ht="15" customHeight="1" x14ac:dyDescent="0.25">
      <c r="B63" s="198"/>
      <c r="D63" s="345" t="s">
        <v>249</v>
      </c>
      <c r="E63" s="197"/>
      <c r="F63" s="198"/>
      <c r="G63" s="202"/>
      <c r="H63" s="198"/>
      <c r="J63" s="345" t="s">
        <v>249</v>
      </c>
      <c r="K63" s="202"/>
      <c r="L63" s="198"/>
      <c r="M63" s="197"/>
      <c r="N63" s="198"/>
      <c r="P63" s="198"/>
      <c r="R63" s="349" t="s">
        <v>263</v>
      </c>
      <c r="S63" s="202"/>
      <c r="T63" s="345" t="s">
        <v>249</v>
      </c>
      <c r="V63" s="345" t="s">
        <v>249</v>
      </c>
      <c r="W63" s="202"/>
      <c r="X63" s="345" t="s">
        <v>249</v>
      </c>
      <c r="Z63" s="345" t="s">
        <v>249</v>
      </c>
      <c r="AA63" s="202"/>
      <c r="AB63" s="352"/>
    </row>
    <row r="64" spans="1:29" ht="15.75" thickBot="1" x14ac:dyDescent="0.3">
      <c r="A64" s="197" t="s">
        <v>19</v>
      </c>
      <c r="B64" s="198"/>
      <c r="C64" s="202" t="s">
        <v>207</v>
      </c>
      <c r="D64" s="346"/>
      <c r="E64" s="197" t="s">
        <v>19</v>
      </c>
      <c r="F64" s="198"/>
      <c r="G64" s="202" t="s">
        <v>207</v>
      </c>
      <c r="H64" s="198"/>
      <c r="I64" s="197" t="s">
        <v>19</v>
      </c>
      <c r="J64" s="346"/>
      <c r="K64" s="202" t="s">
        <v>207</v>
      </c>
      <c r="L64" s="198"/>
      <c r="M64" s="197" t="s">
        <v>19</v>
      </c>
      <c r="N64" s="199"/>
      <c r="O64" s="202" t="s">
        <v>207</v>
      </c>
      <c r="P64" s="199"/>
      <c r="Q64" s="197" t="s">
        <v>19</v>
      </c>
      <c r="R64" s="350"/>
      <c r="S64" s="202" t="s">
        <v>207</v>
      </c>
      <c r="T64" s="346"/>
      <c r="U64" s="197" t="s">
        <v>19</v>
      </c>
      <c r="V64" s="346"/>
      <c r="W64" s="202" t="s">
        <v>207</v>
      </c>
      <c r="X64" s="346"/>
      <c r="Y64" s="197" t="s">
        <v>19</v>
      </c>
      <c r="Z64" s="346"/>
      <c r="AA64" s="202" t="s">
        <v>207</v>
      </c>
      <c r="AB64" s="353"/>
      <c r="AC64" s="197" t="s">
        <v>19</v>
      </c>
    </row>
    <row r="65" spans="1:29" x14ac:dyDescent="0.25">
      <c r="B65" s="370" t="s">
        <v>264</v>
      </c>
      <c r="D65" s="370" t="s">
        <v>264</v>
      </c>
      <c r="E65" s="197"/>
      <c r="F65" s="370" t="s">
        <v>264</v>
      </c>
      <c r="G65" s="202"/>
      <c r="H65" s="370" t="s">
        <v>264</v>
      </c>
      <c r="J65" s="370" t="s">
        <v>264</v>
      </c>
      <c r="K65" s="202"/>
      <c r="L65" s="370" t="s">
        <v>264</v>
      </c>
      <c r="M65" s="197"/>
      <c r="N65" s="370" t="s">
        <v>264</v>
      </c>
      <c r="P65" s="368" t="s">
        <v>265</v>
      </c>
      <c r="R65" s="370" t="s">
        <v>264</v>
      </c>
      <c r="S65" s="202"/>
      <c r="T65" s="370" t="s">
        <v>264</v>
      </c>
      <c r="V65" s="370" t="s">
        <v>264</v>
      </c>
      <c r="W65" s="202"/>
      <c r="X65" s="370" t="s">
        <v>264</v>
      </c>
      <c r="Z65" s="370" t="s">
        <v>264</v>
      </c>
      <c r="AA65" s="202"/>
      <c r="AB65" s="354" t="s">
        <v>266</v>
      </c>
    </row>
    <row r="66" spans="1:29" ht="15.75" thickBot="1" x14ac:dyDescent="0.3">
      <c r="A66" s="201"/>
      <c r="B66" s="371"/>
      <c r="C66" s="208" t="s">
        <v>208</v>
      </c>
      <c r="D66" s="371"/>
      <c r="E66" s="201"/>
      <c r="F66" s="371"/>
      <c r="G66" s="208" t="s">
        <v>208</v>
      </c>
      <c r="H66" s="371"/>
      <c r="I66" s="201"/>
      <c r="J66" s="371"/>
      <c r="K66" s="208" t="s">
        <v>208</v>
      </c>
      <c r="L66" s="371"/>
      <c r="M66" s="201"/>
      <c r="N66" s="371"/>
      <c r="O66" s="208" t="s">
        <v>208</v>
      </c>
      <c r="P66" s="369"/>
      <c r="Q66" s="200"/>
      <c r="R66" s="371"/>
      <c r="S66" s="208" t="s">
        <v>208</v>
      </c>
      <c r="T66" s="371"/>
      <c r="U66" s="200"/>
      <c r="V66" s="371"/>
      <c r="W66" s="208" t="s">
        <v>208</v>
      </c>
      <c r="X66" s="371"/>
      <c r="Y66" s="200"/>
      <c r="Z66" s="371"/>
      <c r="AA66" s="208" t="s">
        <v>208</v>
      </c>
      <c r="AB66" s="353"/>
      <c r="AC66" s="200"/>
    </row>
    <row r="67" spans="1:29" x14ac:dyDescent="0.25">
      <c r="G67" s="202"/>
      <c r="K67" s="202"/>
      <c r="S67" s="202"/>
      <c r="W67" s="202"/>
      <c r="AA67" s="202"/>
    </row>
  </sheetData>
  <mergeCells count="114">
    <mergeCell ref="Z65:Z66"/>
    <mergeCell ref="AB65:AB66"/>
    <mergeCell ref="N65:N66"/>
    <mergeCell ref="P65:P66"/>
    <mergeCell ref="R65:R66"/>
    <mergeCell ref="T65:T66"/>
    <mergeCell ref="V65:V66"/>
    <mergeCell ref="X65:X66"/>
    <mergeCell ref="T63:T64"/>
    <mergeCell ref="V63:V64"/>
    <mergeCell ref="X63:X64"/>
    <mergeCell ref="Z63:Z64"/>
    <mergeCell ref="AB27:AB64"/>
    <mergeCell ref="T41:T42"/>
    <mergeCell ref="R61:R62"/>
    <mergeCell ref="R63:R64"/>
    <mergeCell ref="Z51:Z58"/>
    <mergeCell ref="Z43:Z46"/>
    <mergeCell ref="X39:X42"/>
    <mergeCell ref="X35:X38"/>
    <mergeCell ref="Z35:Z42"/>
    <mergeCell ref="T3:T34"/>
    <mergeCell ref="V3:V34"/>
    <mergeCell ref="X3:X34"/>
    <mergeCell ref="B65:B66"/>
    <mergeCell ref="D65:D66"/>
    <mergeCell ref="F65:F66"/>
    <mergeCell ref="H65:H66"/>
    <mergeCell ref="J65:J66"/>
    <mergeCell ref="L65:L66"/>
    <mergeCell ref="B61:B62"/>
    <mergeCell ref="N61:N62"/>
    <mergeCell ref="P61:P62"/>
    <mergeCell ref="D63:D64"/>
    <mergeCell ref="J63:J64"/>
    <mergeCell ref="V51:V58"/>
    <mergeCell ref="X51:X58"/>
    <mergeCell ref="R57:R58"/>
    <mergeCell ref="L43:L46"/>
    <mergeCell ref="N43:N50"/>
    <mergeCell ref="P43:P48"/>
    <mergeCell ref="X43:X48"/>
    <mergeCell ref="B53:B54"/>
    <mergeCell ref="R53:R54"/>
    <mergeCell ref="R55:R56"/>
    <mergeCell ref="B57:B58"/>
    <mergeCell ref="F57:F58"/>
    <mergeCell ref="H57:H58"/>
    <mergeCell ref="L57:L58"/>
    <mergeCell ref="N57:N58"/>
    <mergeCell ref="P57:P58"/>
    <mergeCell ref="B45:B46"/>
    <mergeCell ref="R45:R46"/>
    <mergeCell ref="R47:R48"/>
    <mergeCell ref="B49:B50"/>
    <mergeCell ref="F49:F50"/>
    <mergeCell ref="H49:H50"/>
    <mergeCell ref="L49:L50"/>
    <mergeCell ref="P49:P50"/>
    <mergeCell ref="T37:T38"/>
    <mergeCell ref="N39:N40"/>
    <mergeCell ref="P39:P40"/>
    <mergeCell ref="T39:T40"/>
    <mergeCell ref="N11:N18"/>
    <mergeCell ref="P11:P18"/>
    <mergeCell ref="H27:H34"/>
    <mergeCell ref="J27:J34"/>
    <mergeCell ref="L27:L34"/>
    <mergeCell ref="L23:L26"/>
    <mergeCell ref="L35:L42"/>
    <mergeCell ref="N35:N38"/>
    <mergeCell ref="P35:P38"/>
    <mergeCell ref="T35:T36"/>
    <mergeCell ref="P41:P42"/>
    <mergeCell ref="R41:R42"/>
    <mergeCell ref="AB11:AB14"/>
    <mergeCell ref="AB15:AB18"/>
    <mergeCell ref="B19:B26"/>
    <mergeCell ref="F19:F26"/>
    <mergeCell ref="H19:H26"/>
    <mergeCell ref="J19:J22"/>
    <mergeCell ref="L19:L22"/>
    <mergeCell ref="R19:R26"/>
    <mergeCell ref="AB19:AB26"/>
    <mergeCell ref="J23:J26"/>
    <mergeCell ref="Z3:Z34"/>
    <mergeCell ref="AB3:AB10"/>
    <mergeCell ref="B11:B18"/>
    <mergeCell ref="D11:D18"/>
    <mergeCell ref="F11:F18"/>
    <mergeCell ref="H11:H18"/>
    <mergeCell ref="J11:J18"/>
    <mergeCell ref="L11:L18"/>
    <mergeCell ref="R3:R10"/>
    <mergeCell ref="B27:B34"/>
    <mergeCell ref="F27:F34"/>
    <mergeCell ref="R11:R18"/>
    <mergeCell ref="N27:N34"/>
    <mergeCell ref="P27:P34"/>
    <mergeCell ref="B3:B10"/>
    <mergeCell ref="D3:D10"/>
    <mergeCell ref="F3:F10"/>
    <mergeCell ref="H3:H10"/>
    <mergeCell ref="J3:J10"/>
    <mergeCell ref="L3:L10"/>
    <mergeCell ref="N3:N10"/>
    <mergeCell ref="P3:P10"/>
    <mergeCell ref="R49:R50"/>
    <mergeCell ref="R27:R34"/>
    <mergeCell ref="B37:B38"/>
    <mergeCell ref="B41:B42"/>
    <mergeCell ref="F41:F42"/>
    <mergeCell ref="H41:H42"/>
    <mergeCell ref="N41:N42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1</vt:i4>
      </vt:variant>
    </vt:vector>
  </HeadingPairs>
  <TitlesOfParts>
    <vt:vector size="6" baseType="lpstr">
      <vt:lpstr>GALV4</vt:lpstr>
      <vt:lpstr>Clockgenerator</vt:lpstr>
      <vt:lpstr>GALV5</vt:lpstr>
      <vt:lpstr>Truth-Table V1.22</vt:lpstr>
      <vt:lpstr>Speicherbelugung</vt:lpstr>
      <vt:lpstr>'Truth-Table V1.22'!ProfDosV5D_Truth_Table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Hitch</dc:creator>
  <cp:lastModifiedBy>Hitch</cp:lastModifiedBy>
  <dcterms:created xsi:type="dcterms:W3CDTF">2016-06-15T16:03:48Z</dcterms:created>
  <dcterms:modified xsi:type="dcterms:W3CDTF">2017-04-15T11:40:27Z</dcterms:modified>
</cp:coreProperties>
</file>
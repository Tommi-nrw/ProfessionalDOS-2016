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5715" windowHeight="9285" activeTab="1"/>
  </bookViews>
  <sheets>
    <sheet name="Tabelle1" sheetId="1" r:id="rId1"/>
    <sheet name="Tabelle2" sheetId="2" r:id="rId2"/>
    <sheet name="Tabelle3" sheetId="3" r:id="rId3"/>
  </sheets>
  <calcPr calcId="145621"/>
</workbook>
</file>

<file path=xl/calcChain.xml><?xml version="1.0" encoding="utf-8"?>
<calcChain xmlns="http://schemas.openxmlformats.org/spreadsheetml/2006/main">
  <c r="AZ52" i="1" l="1"/>
  <c r="BA52" i="1"/>
  <c r="BB52" i="1"/>
  <c r="BC52" i="1"/>
  <c r="BD52" i="1"/>
  <c r="BE52" i="1"/>
  <c r="BF52" i="1"/>
  <c r="BG52" i="1"/>
  <c r="AZ53" i="1"/>
  <c r="BA53" i="1"/>
  <c r="BB53" i="1"/>
  <c r="BC53" i="1"/>
  <c r="BD53" i="1"/>
  <c r="BE53" i="1"/>
  <c r="BF53" i="1"/>
  <c r="BG53" i="1"/>
  <c r="AZ54" i="1"/>
  <c r="BA54" i="1"/>
  <c r="BB54" i="1"/>
  <c r="BC54" i="1"/>
  <c r="BD54" i="1"/>
  <c r="BE54" i="1"/>
  <c r="BF54" i="1"/>
  <c r="BG54" i="1"/>
  <c r="AZ55" i="1"/>
  <c r="BA55" i="1"/>
  <c r="BB55" i="1"/>
  <c r="BC55" i="1"/>
  <c r="BD55" i="1"/>
  <c r="BE55" i="1"/>
  <c r="BF55" i="1"/>
  <c r="BG55" i="1"/>
  <c r="AZ56" i="1"/>
  <c r="BA56" i="1"/>
  <c r="BB56" i="1"/>
  <c r="BC56" i="1"/>
  <c r="BD56" i="1"/>
  <c r="BE56" i="1"/>
  <c r="BF56" i="1"/>
  <c r="BG56" i="1"/>
  <c r="AZ57" i="1"/>
  <c r="BA57" i="1"/>
  <c r="BB57" i="1"/>
  <c r="BC57" i="1"/>
  <c r="BD57" i="1"/>
  <c r="BE57" i="1"/>
  <c r="BF57" i="1"/>
  <c r="BG57" i="1"/>
  <c r="AZ58" i="1"/>
  <c r="BA58" i="1"/>
  <c r="BB58" i="1"/>
  <c r="BC58" i="1"/>
  <c r="BD58" i="1"/>
  <c r="BE58" i="1"/>
  <c r="BF58" i="1"/>
  <c r="BG58" i="1"/>
  <c r="AZ59" i="1"/>
  <c r="BA59" i="1"/>
  <c r="BB59" i="1"/>
  <c r="BC59" i="1"/>
  <c r="BD59" i="1"/>
  <c r="BE59" i="1"/>
  <c r="BF59" i="1"/>
  <c r="BG59" i="1"/>
  <c r="AZ60" i="1"/>
  <c r="BA60" i="1"/>
  <c r="BB60" i="1"/>
  <c r="BC60" i="1"/>
  <c r="BD60" i="1"/>
  <c r="BE60" i="1"/>
  <c r="BF60" i="1"/>
  <c r="BG60" i="1"/>
  <c r="AZ61" i="1"/>
  <c r="BA61" i="1"/>
  <c r="BB61" i="1"/>
  <c r="BC61" i="1"/>
  <c r="BD61" i="1"/>
  <c r="BE61" i="1"/>
  <c r="BF61" i="1"/>
  <c r="BG61" i="1"/>
  <c r="AZ62" i="1"/>
  <c r="BA62" i="1"/>
  <c r="BB62" i="1"/>
  <c r="BC62" i="1"/>
  <c r="BD62" i="1"/>
  <c r="BE62" i="1"/>
  <c r="BF62" i="1"/>
  <c r="BG62" i="1"/>
  <c r="AZ63" i="1"/>
  <c r="BA63" i="1"/>
  <c r="BB63" i="1"/>
  <c r="BC63" i="1"/>
  <c r="BD63" i="1"/>
  <c r="BE63" i="1"/>
  <c r="BF63" i="1"/>
  <c r="BG63" i="1"/>
  <c r="AZ64" i="1"/>
  <c r="BA64" i="1"/>
  <c r="BB64" i="1"/>
  <c r="BC64" i="1"/>
  <c r="BD64" i="1"/>
  <c r="BE64" i="1"/>
  <c r="BF64" i="1"/>
  <c r="BG64" i="1"/>
  <c r="AZ65" i="1"/>
  <c r="BA65" i="1"/>
  <c r="BB65" i="1"/>
  <c r="BC65" i="1"/>
  <c r="BD65" i="1"/>
  <c r="BE65" i="1"/>
  <c r="BF65" i="1"/>
  <c r="BG65" i="1"/>
  <c r="AZ66" i="1"/>
  <c r="BA66" i="1"/>
  <c r="BB66" i="1"/>
  <c r="BC66" i="1"/>
  <c r="BD66" i="1"/>
  <c r="BE66" i="1"/>
  <c r="BF66" i="1"/>
  <c r="BG66" i="1"/>
  <c r="AZ67" i="1"/>
  <c r="BA67" i="1"/>
  <c r="BB67" i="1"/>
  <c r="BC67" i="1"/>
  <c r="BD67" i="1"/>
  <c r="BE67" i="1"/>
  <c r="BF67" i="1"/>
  <c r="BG67" i="1"/>
  <c r="AZ68" i="1"/>
  <c r="BA68" i="1"/>
  <c r="BB68" i="1"/>
  <c r="BC68" i="1"/>
  <c r="BD68" i="1"/>
  <c r="BE68" i="1"/>
  <c r="BF68" i="1"/>
  <c r="BG68" i="1"/>
  <c r="AZ69" i="1"/>
  <c r="BA69" i="1"/>
  <c r="BB69" i="1"/>
  <c r="BC69" i="1"/>
  <c r="BD69" i="1"/>
  <c r="BE69" i="1"/>
  <c r="BF69" i="1"/>
  <c r="BG69" i="1"/>
  <c r="AZ70" i="1"/>
  <c r="BA70" i="1"/>
  <c r="BB70" i="1"/>
  <c r="BC70" i="1"/>
  <c r="BD70" i="1"/>
  <c r="BE70" i="1"/>
  <c r="BF70" i="1"/>
  <c r="BG70" i="1"/>
  <c r="AZ71" i="1"/>
  <c r="BA71" i="1"/>
  <c r="BB71" i="1"/>
  <c r="BC71" i="1"/>
  <c r="BD71" i="1"/>
  <c r="BE71" i="1"/>
  <c r="BF71" i="1"/>
  <c r="BG71" i="1"/>
  <c r="AZ72" i="1"/>
  <c r="BA72" i="1"/>
  <c r="BB72" i="1"/>
  <c r="BC72" i="1"/>
  <c r="BD72" i="1"/>
  <c r="BE72" i="1"/>
  <c r="BF72" i="1"/>
  <c r="BG72" i="1"/>
  <c r="AZ73" i="1"/>
  <c r="BA73" i="1"/>
  <c r="BB73" i="1"/>
  <c r="BC73" i="1"/>
  <c r="BD73" i="1"/>
  <c r="BE73" i="1"/>
  <c r="BF73" i="1"/>
  <c r="BG73" i="1"/>
  <c r="AZ74" i="1"/>
  <c r="BA74" i="1"/>
  <c r="BB74" i="1"/>
  <c r="BC74" i="1"/>
  <c r="BD74" i="1"/>
  <c r="BE74" i="1"/>
  <c r="BF74" i="1"/>
  <c r="BG74" i="1"/>
  <c r="AZ75" i="1"/>
  <c r="BA75" i="1"/>
  <c r="BB75" i="1"/>
  <c r="BC75" i="1"/>
  <c r="BD75" i="1"/>
  <c r="BE75" i="1"/>
  <c r="BF75" i="1"/>
  <c r="BG75" i="1"/>
  <c r="AZ76" i="1"/>
  <c r="BA76" i="1"/>
  <c r="BB76" i="1"/>
  <c r="BC76" i="1"/>
  <c r="BD76" i="1"/>
  <c r="BE76" i="1"/>
  <c r="BF76" i="1"/>
  <c r="BG76" i="1"/>
  <c r="AZ77" i="1"/>
  <c r="BA77" i="1"/>
  <c r="BB77" i="1"/>
  <c r="BC77" i="1"/>
  <c r="BD77" i="1"/>
  <c r="BE77" i="1"/>
  <c r="BF77" i="1"/>
  <c r="BG77" i="1"/>
  <c r="AZ78" i="1"/>
  <c r="BA78" i="1"/>
  <c r="BB78" i="1"/>
  <c r="BC78" i="1"/>
  <c r="BD78" i="1"/>
  <c r="BE78" i="1"/>
  <c r="BF78" i="1"/>
  <c r="BG78" i="1"/>
  <c r="AZ79" i="1"/>
  <c r="BA79" i="1"/>
  <c r="BB79" i="1"/>
  <c r="BC79" i="1"/>
  <c r="BD79" i="1"/>
  <c r="BE79" i="1"/>
  <c r="BF79" i="1"/>
  <c r="BG79" i="1"/>
  <c r="AZ80" i="1"/>
  <c r="BA80" i="1"/>
  <c r="BB80" i="1"/>
  <c r="BC80" i="1"/>
  <c r="BD80" i="1"/>
  <c r="BE80" i="1"/>
  <c r="BF80" i="1"/>
  <c r="BG80" i="1"/>
  <c r="AZ81" i="1"/>
  <c r="BA81" i="1"/>
  <c r="BB81" i="1"/>
  <c r="BC81" i="1"/>
  <c r="BD81" i="1"/>
  <c r="BE81" i="1"/>
  <c r="BF81" i="1"/>
  <c r="BG81" i="1"/>
  <c r="AZ82" i="1"/>
  <c r="BA82" i="1"/>
  <c r="BB82" i="1"/>
  <c r="BC82" i="1"/>
  <c r="BD82" i="1"/>
  <c r="BE82" i="1"/>
  <c r="BF82" i="1"/>
  <c r="BG82" i="1"/>
  <c r="BG51" i="1"/>
  <c r="BF51" i="1"/>
  <c r="BE51" i="1"/>
  <c r="BD51" i="1"/>
  <c r="BC51" i="1"/>
  <c r="BB51" i="1"/>
  <c r="BA51" i="1"/>
  <c r="AZ51" i="1"/>
  <c r="AU84" i="1"/>
  <c r="AT84" i="1"/>
  <c r="AS84" i="1"/>
  <c r="AR84" i="1"/>
  <c r="AQ84" i="1"/>
  <c r="AO84" i="1"/>
  <c r="AP84" i="1"/>
  <c r="AV84" i="1"/>
  <c r="AN84" i="1"/>
  <c r="AM84" i="1"/>
  <c r="AB84" i="1"/>
  <c r="AA84" i="1"/>
  <c r="Z84" i="1"/>
  <c r="Y84" i="1"/>
  <c r="X84" i="1"/>
  <c r="W84" i="1"/>
  <c r="V84" i="1"/>
  <c r="AC84" i="1"/>
  <c r="U84" i="1"/>
  <c r="T84" i="1"/>
  <c r="AK39" i="1"/>
  <c r="AJ39" i="1"/>
  <c r="AI39" i="1"/>
  <c r="AH39" i="1"/>
  <c r="AG39" i="1"/>
  <c r="AF39" i="1"/>
  <c r="AE39" i="1"/>
  <c r="AD39" i="1"/>
  <c r="AC39" i="1"/>
  <c r="AB39" i="1"/>
  <c r="N39" i="1"/>
  <c r="Q39" i="1"/>
  <c r="P39" i="1"/>
  <c r="R39" i="1"/>
  <c r="S39" i="1"/>
  <c r="T39" i="1"/>
  <c r="U39" i="1"/>
  <c r="V39" i="1"/>
  <c r="O39" i="1"/>
  <c r="M39" i="1"/>
  <c r="I53" i="1" l="1"/>
  <c r="I42" i="1"/>
  <c r="I43" i="1"/>
  <c r="I47" i="1"/>
  <c r="I50" i="1"/>
  <c r="I51" i="1"/>
  <c r="I52" i="1"/>
  <c r="I55" i="1"/>
  <c r="I60" i="1"/>
  <c r="I65" i="1"/>
  <c r="I66" i="1"/>
  <c r="I71" i="1"/>
  <c r="I72" i="1"/>
  <c r="I73" i="1"/>
  <c r="I83" i="1"/>
  <c r="I74" i="1"/>
  <c r="I77" i="1"/>
  <c r="I75" i="1"/>
  <c r="I78" i="1"/>
  <c r="I45" i="1"/>
  <c r="I63" i="1"/>
  <c r="I67" i="1"/>
  <c r="I48" i="1"/>
  <c r="I69" i="1"/>
  <c r="I54" i="1"/>
  <c r="I58" i="1"/>
  <c r="I76" i="1"/>
  <c r="I81" i="1"/>
  <c r="I56" i="1"/>
  <c r="I61" i="1"/>
  <c r="I79" i="1"/>
  <c r="I84" i="1"/>
  <c r="I46" i="1"/>
  <c r="I59" i="1"/>
  <c r="I64" i="1"/>
  <c r="I68" i="1"/>
  <c r="I82" i="1"/>
  <c r="I49" i="1"/>
  <c r="I62" i="1"/>
  <c r="I70" i="1"/>
  <c r="I85" i="1"/>
  <c r="I80" i="1"/>
  <c r="I57" i="1"/>
  <c r="I44" i="1"/>
  <c r="M43" i="1"/>
  <c r="L43" i="1"/>
  <c r="K43" i="1"/>
  <c r="J43" i="1"/>
  <c r="M44" i="1"/>
  <c r="L44" i="1"/>
  <c r="K44" i="1"/>
  <c r="J44" i="1"/>
  <c r="M47" i="1"/>
  <c r="L47" i="1"/>
  <c r="K47" i="1"/>
  <c r="J47" i="1"/>
  <c r="M50" i="1"/>
  <c r="L50" i="1"/>
  <c r="K50" i="1"/>
  <c r="J50" i="1"/>
  <c r="M51" i="1"/>
  <c r="L51" i="1"/>
  <c r="K51" i="1"/>
  <c r="J51" i="1"/>
  <c r="M52" i="1"/>
  <c r="L52" i="1"/>
  <c r="K52" i="1"/>
  <c r="J52" i="1"/>
  <c r="M53" i="1"/>
  <c r="L53" i="1"/>
  <c r="K53" i="1"/>
  <c r="J53" i="1"/>
  <c r="M55" i="1"/>
  <c r="L55" i="1"/>
  <c r="K55" i="1"/>
  <c r="J55" i="1"/>
  <c r="M60" i="1"/>
  <c r="L60" i="1"/>
  <c r="K60" i="1"/>
  <c r="J60" i="1"/>
  <c r="M65" i="1"/>
  <c r="L65" i="1"/>
  <c r="K65" i="1"/>
  <c r="J65" i="1"/>
  <c r="M66" i="1"/>
  <c r="L66" i="1"/>
  <c r="K66" i="1"/>
  <c r="J66" i="1"/>
  <c r="M71" i="1"/>
  <c r="L71" i="1"/>
  <c r="K71" i="1"/>
  <c r="J71" i="1"/>
  <c r="M72" i="1"/>
  <c r="L72" i="1"/>
  <c r="K72" i="1"/>
  <c r="J72" i="1"/>
  <c r="M73" i="1"/>
  <c r="L73" i="1"/>
  <c r="K73" i="1"/>
  <c r="J73" i="1"/>
  <c r="M83" i="1"/>
  <c r="L83" i="1"/>
  <c r="K83" i="1"/>
  <c r="J83" i="1"/>
  <c r="M74" i="1"/>
  <c r="L74" i="1"/>
  <c r="K74" i="1"/>
  <c r="J74" i="1"/>
  <c r="M77" i="1"/>
  <c r="L77" i="1"/>
  <c r="K77" i="1"/>
  <c r="J77" i="1"/>
  <c r="M75" i="1"/>
  <c r="L75" i="1"/>
  <c r="K75" i="1"/>
  <c r="J75" i="1"/>
  <c r="M78" i="1"/>
  <c r="L78" i="1"/>
  <c r="K78" i="1"/>
  <c r="J78" i="1"/>
  <c r="M45" i="1"/>
  <c r="L45" i="1"/>
  <c r="K45" i="1"/>
  <c r="J45" i="1"/>
  <c r="M48" i="1"/>
  <c r="L48" i="1"/>
  <c r="K48" i="1"/>
  <c r="J48" i="1"/>
  <c r="M63" i="1"/>
  <c r="L63" i="1"/>
  <c r="K63" i="1"/>
  <c r="J63" i="1"/>
  <c r="M67" i="1"/>
  <c r="L67" i="1"/>
  <c r="K67" i="1"/>
  <c r="J67" i="1"/>
  <c r="M69" i="1"/>
  <c r="L69" i="1"/>
  <c r="K69" i="1"/>
  <c r="J69" i="1"/>
  <c r="M54" i="1"/>
  <c r="L54" i="1"/>
  <c r="K54" i="1"/>
  <c r="J54" i="1"/>
  <c r="M56" i="1"/>
  <c r="L56" i="1"/>
  <c r="K56" i="1"/>
  <c r="J56" i="1"/>
  <c r="M58" i="1"/>
  <c r="L58" i="1"/>
  <c r="K58" i="1"/>
  <c r="J58" i="1"/>
  <c r="M61" i="1"/>
  <c r="L61" i="1"/>
  <c r="K61" i="1"/>
  <c r="J61" i="1"/>
  <c r="M76" i="1"/>
  <c r="L76" i="1"/>
  <c r="K76" i="1"/>
  <c r="J76" i="1"/>
  <c r="M79" i="1"/>
  <c r="L79" i="1"/>
  <c r="K79" i="1"/>
  <c r="J79" i="1"/>
  <c r="M81" i="1"/>
  <c r="L81" i="1"/>
  <c r="K81" i="1"/>
  <c r="J81" i="1"/>
  <c r="M84" i="1"/>
  <c r="L84" i="1"/>
  <c r="K84" i="1"/>
  <c r="J84" i="1"/>
  <c r="M46" i="1"/>
  <c r="L46" i="1"/>
  <c r="K46" i="1"/>
  <c r="J46" i="1"/>
  <c r="M49" i="1"/>
  <c r="L49" i="1"/>
  <c r="K49" i="1"/>
  <c r="J49" i="1"/>
  <c r="M59" i="1"/>
  <c r="L59" i="1"/>
  <c r="K59" i="1"/>
  <c r="J59" i="1"/>
  <c r="M62" i="1"/>
  <c r="L62" i="1"/>
  <c r="K62" i="1"/>
  <c r="J62" i="1"/>
  <c r="M64" i="1"/>
  <c r="L64" i="1"/>
  <c r="K64" i="1"/>
  <c r="J64" i="1"/>
  <c r="M68" i="1"/>
  <c r="L68" i="1"/>
  <c r="K68" i="1"/>
  <c r="J68" i="1"/>
  <c r="M70" i="1"/>
  <c r="L70" i="1"/>
  <c r="K70" i="1"/>
  <c r="J70" i="1"/>
  <c r="M82" i="1"/>
  <c r="L82" i="1"/>
  <c r="K82" i="1"/>
  <c r="J82" i="1"/>
  <c r="M85" i="1"/>
  <c r="L85" i="1"/>
  <c r="K85" i="1"/>
  <c r="J85" i="1"/>
  <c r="M80" i="1"/>
  <c r="L80" i="1"/>
  <c r="K80" i="1"/>
  <c r="J80" i="1"/>
  <c r="M57" i="1"/>
  <c r="L57" i="1"/>
  <c r="K57" i="1"/>
  <c r="J57" i="1"/>
  <c r="J42" i="1"/>
  <c r="K42" i="1"/>
  <c r="M42" i="1"/>
  <c r="L42" i="1"/>
</calcChain>
</file>

<file path=xl/sharedStrings.xml><?xml version="1.0" encoding="utf-8"?>
<sst xmlns="http://schemas.openxmlformats.org/spreadsheetml/2006/main" count="477" uniqueCount="121">
  <si>
    <t>A15</t>
  </si>
  <si>
    <t>A13</t>
  </si>
  <si>
    <t>Input</t>
  </si>
  <si>
    <t>Pin 5</t>
  </si>
  <si>
    <t>Pin 7</t>
  </si>
  <si>
    <t>Output</t>
  </si>
  <si>
    <t>Pin 14</t>
  </si>
  <si>
    <t>neu</t>
  </si>
  <si>
    <t>A12</t>
  </si>
  <si>
    <t>A12 - ext</t>
  </si>
  <si>
    <t>A15 - ext</t>
  </si>
  <si>
    <t>A11 - ext</t>
  </si>
  <si>
    <t>Pin 16</t>
  </si>
  <si>
    <t>vorhanden</t>
  </si>
  <si>
    <t>GAL</t>
  </si>
  <si>
    <t>Pin 23</t>
  </si>
  <si>
    <t>Signal</t>
  </si>
  <si>
    <t>Wahrheitstabelle:</t>
  </si>
  <si>
    <t>Pin 4</t>
  </si>
  <si>
    <t>A11</t>
  </si>
  <si>
    <t>Zusätzlich zu bestehender Programmierung!</t>
  </si>
  <si>
    <t>Pin 8</t>
  </si>
  <si>
    <t>O0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</si>
  <si>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</si>
  <si>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</si>
  <si>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</si>
  <si>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</si>
  <si>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</si>
  <si>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</si>
  <si>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</si>
  <si>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</si>
  <si>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</si>
  <si>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I0</t>
  </si>
  <si>
    <t>I1</t>
  </si>
  <si>
    <t>I2</t>
  </si>
  <si>
    <t>I3</t>
  </si>
  <si>
    <t>I4</t>
  </si>
  <si>
    <t>i0*/i1*/i2*/i3*/i4+</t>
  </si>
  <si>
    <t>i0*i1*/i2*/i3*/i4+</t>
  </si>
  <si>
    <t>/i0*/i1*i2*/i3*/i4+</t>
  </si>
  <si>
    <t>i0*/i1*i2*/i3*/i4+</t>
  </si>
  <si>
    <t>i0*i1*i2*/i3*/i4+</t>
  </si>
  <si>
    <t>i0*/i1*/i2*i3*/i4+</t>
  </si>
  <si>
    <t>i0*i1*/i2*i3*/i4+</t>
  </si>
  <si>
    <t>/i0*/i1*i2*i3*/i4+</t>
  </si>
  <si>
    <t>i0*/i1*i2*i3*/i4+</t>
  </si>
  <si>
    <t>i0*i1*i2*i3*/i4+</t>
  </si>
  <si>
    <t>i0*/i1*/i2*/i3*i4+</t>
  </si>
  <si>
    <t>i0*i1*/i2*/i3*i4+</t>
  </si>
  <si>
    <t>i0*i1*i2*/i3*i4+</t>
  </si>
  <si>
    <t>i0*/i1*/i2*i3*i4+</t>
  </si>
  <si>
    <t>i0*i1*/i2*i3*i4+</t>
  </si>
  <si>
    <t>i0*i1*i2*i3*i4</t>
  </si>
  <si>
    <t xml:space="preserve">o2 = </t>
  </si>
  <si>
    <t>/i0*/i1*i2*i3*i4+</t>
  </si>
  <si>
    <t>i0*/i1*i2*i3*i4</t>
  </si>
  <si>
    <t>/o3 =</t>
  </si>
  <si>
    <t>/o4 =</t>
  </si>
  <si>
    <t>/i0*/i1*/i2*/i3*i4+</t>
  </si>
  <si>
    <t>/i0*/i1*i2*/i3*i4+</t>
  </si>
  <si>
    <t>i0*/i1*i2*/i3*i4</t>
  </si>
  <si>
    <t>/o5 =</t>
  </si>
  <si>
    <t>/i0*i1*i2*i3*/i4+</t>
  </si>
  <si>
    <t>i0*/i1*i2*i3*i4+</t>
  </si>
  <si>
    <t>/i0*i1*i2*i3*i4+</t>
  </si>
  <si>
    <t>o6 =</t>
  </si>
  <si>
    <t>i0*/i1*i2*/i3*i4+</t>
  </si>
  <si>
    <t>o7 =</t>
  </si>
  <si>
    <t>o8 =</t>
  </si>
  <si>
    <t>i0*/i1*i2*i3*/i4</t>
  </si>
  <si>
    <t>00100</t>
  </si>
  <si>
    <t>00110</t>
  </si>
  <si>
    <t>00111</t>
  </si>
  <si>
    <t>00001</t>
  </si>
  <si>
    <t>00101</t>
  </si>
  <si>
    <t>01110</t>
  </si>
  <si>
    <t>01111</t>
  </si>
  <si>
    <t xml:space="preserve">o1 = </t>
  </si>
  <si>
    <t>CHIP prodos GAL22V10</t>
  </si>
  <si>
    <t>nc=1 nc=2 /oe=3 nc=9 nc=10 nc=11 gnd=12 nc=13 nc=14 r1=16  vcc=24</t>
  </si>
  <si>
    <t>i4=4 i3=5 i2=6 i1=7 i0=8</t>
  </si>
  <si>
    <t>o8=15 o7=17 o6=18 o5=19 o4=20 o3=21 o2=22 o1=23</t>
  </si>
  <si>
    <t>/O5</t>
  </si>
  <si>
    <t>Ausgang</t>
  </si>
  <si>
    <t>Formel</t>
  </si>
  <si>
    <t>Output 1</t>
  </si>
  <si>
    <t>I5</t>
  </si>
  <si>
    <t>I6</t>
  </si>
  <si>
    <t>I5*/I3</t>
  </si>
  <si>
    <t>I6*/I5*I4*I3*/I2</t>
  </si>
  <si>
    <t>I6*/I3  +  I6*/I5</t>
  </si>
  <si>
    <t>I6*/I5*I4*I3*I2</t>
  </si>
  <si>
    <t>/O6  +   I5*I4*I3</t>
  </si>
  <si>
    <t>I4*I3</t>
  </si>
  <si>
    <t>/O6</t>
  </si>
  <si>
    <t xml:space="preserve">/I5*I4*/I3  +  /I6*/I5*/I4*/I3*I2 </t>
  </si>
  <si>
    <t>/O8</t>
  </si>
  <si>
    <t>/I5*I4*I3*I2</t>
  </si>
  <si>
    <t>/O9</t>
  </si>
  <si>
    <t>/I6*/I4*/I3  +  /I5*I4*I2  +  /I6*I5*I4*/I3  +  /I6*I5*/I4</t>
  </si>
  <si>
    <t>nb</t>
  </si>
  <si>
    <t>r1</t>
  </si>
  <si>
    <t>Pin</t>
  </si>
  <si>
    <t>A14</t>
  </si>
  <si>
    <t>00011100</t>
  </si>
  <si>
    <t>00011101</t>
  </si>
  <si>
    <t>00110101</t>
  </si>
  <si>
    <t>00001101</t>
  </si>
  <si>
    <t>10001101</t>
  </si>
  <si>
    <t>00101100</t>
  </si>
  <si>
    <t>00101101</t>
  </si>
  <si>
    <t>00110100</t>
  </si>
  <si>
    <t>00001010</t>
  </si>
  <si>
    <t>01001010</t>
  </si>
  <si>
    <t>i0</t>
  </si>
  <si>
    <t>i1</t>
  </si>
  <si>
    <t>i2</t>
  </si>
  <si>
    <t>i3</t>
  </si>
  <si>
    <t>i4</t>
  </si>
  <si>
    <t>Moser Tabelle V1.2</t>
  </si>
  <si>
    <t>/A11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</si>
</sst>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9.35"/>
      <color theme="1"/>
      <name val="Arial"/>
      <family val="2"/>
    </font>
    <font>
      <sz val="9.35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 style="hair">
        <color auto="1"/>
      </left>
      <right/>
      <top style="thin">
        <color indexed="64"/>
      </top>
      <bottom style="thick">
        <color indexed="64"/>
      </bottom>
      <diagonal/>
    </border>
    <border>
      <left style="thick">
        <color auto="1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thin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10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0" xfId="0" applyFill="1" applyBorder="1"/>
    <xf numFmtId="0" fontId="0" fillId="0" borderId="8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49" fontId="0" fillId="0" borderId="0" xfId="0" applyNumberFormat="1"/>
    <xf numFmtId="0" fontId="0" fillId="0" borderId="0" xfId="0" applyNumberFormat="1"/>
    <xf numFmtId="0" fontId="0" fillId="0" borderId="13" xfId="0" applyFill="1" applyBorder="1" applyAlignment="1">
      <alignment horizontal="center"/>
    </xf>
    <xf numFmtId="0" fontId="0" fillId="0" borderId="0" xfId="0" applyBorder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3" xfId="0" applyFill="1" applyBorder="1" applyAlignment="1">
      <alignment horizontal="center" vertical="center"/>
    </xf>
    <xf numFmtId="0" fontId="0" fillId="0" borderId="33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0" fillId="0" borderId="32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2" borderId="46" xfId="0" applyFill="1" applyBorder="1" applyAlignment="1">
      <alignment horizontal="center" vertical="center"/>
    </xf>
    <xf numFmtId="0" fontId="0" fillId="2" borderId="47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0" borderId="35" xfId="0" applyFill="1" applyBorder="1" applyAlignment="1">
      <alignment vertical="center"/>
    </xf>
    <xf numFmtId="0" fontId="0" fillId="0" borderId="37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4" xfId="0" applyNumberFormat="1" applyFill="1" applyBorder="1" applyAlignment="1">
      <alignment horizontal="center"/>
    </xf>
    <xf numFmtId="0" fontId="0" fillId="5" borderId="34" xfId="0" applyNumberFormat="1" applyFill="1" applyBorder="1" applyAlignment="1">
      <alignment horizontal="center"/>
    </xf>
    <xf numFmtId="0" fontId="0" fillId="5" borderId="34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8" xfId="0" applyFill="1" applyBorder="1" applyAlignment="1">
      <alignment horizontal="right"/>
    </xf>
    <xf numFmtId="0" fontId="0" fillId="3" borderId="0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3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1" xfId="0" applyBorder="1"/>
    <xf numFmtId="0" fontId="0" fillId="0" borderId="32" xfId="0" applyBorder="1"/>
    <xf numFmtId="0" fontId="0" fillId="0" borderId="2" xfId="0" applyBorder="1"/>
    <xf numFmtId="0" fontId="0" fillId="2" borderId="1" xfId="0" applyFill="1" applyBorder="1"/>
    <xf numFmtId="0" fontId="0" fillId="2" borderId="2" xfId="0" applyFill="1" applyBorder="1"/>
    <xf numFmtId="0" fontId="0" fillId="0" borderId="5" xfId="0" applyFont="1" applyBorder="1"/>
    <xf numFmtId="0" fontId="0" fillId="0" borderId="33" xfId="0" applyFont="1" applyBorder="1"/>
    <xf numFmtId="0" fontId="0" fillId="0" borderId="6" xfId="0" applyFont="1" applyBorder="1"/>
    <xf numFmtId="0" fontId="0" fillId="2" borderId="5" xfId="0" applyFont="1" applyFill="1" applyBorder="1"/>
    <xf numFmtId="0" fontId="0" fillId="2" borderId="6" xfId="0" applyFont="1" applyFill="1" applyBorder="1"/>
    <xf numFmtId="0" fontId="0" fillId="0" borderId="1" xfId="0" applyFill="1" applyBorder="1"/>
    <xf numFmtId="0" fontId="0" fillId="0" borderId="32" xfId="0" applyFill="1" applyBorder="1"/>
    <xf numFmtId="0" fontId="0" fillId="0" borderId="2" xfId="0" applyFill="1" applyBorder="1"/>
    <xf numFmtId="0" fontId="0" fillId="3" borderId="3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3" xfId="0" applyBorder="1"/>
    <xf numFmtId="0" fontId="0" fillId="3" borderId="0" xfId="0" applyFill="1" applyBorder="1"/>
    <xf numFmtId="0" fontId="0" fillId="0" borderId="4" xfId="0" applyBorder="1"/>
    <xf numFmtId="0" fontId="0" fillId="2" borderId="3" xfId="0" applyFill="1" applyBorder="1"/>
    <xf numFmtId="0" fontId="0" fillId="6" borderId="0" xfId="0" applyFill="1" applyBorder="1"/>
    <xf numFmtId="0" fontId="0" fillId="0" borderId="5" xfId="0" applyFill="1" applyBorder="1"/>
    <xf numFmtId="0" fontId="0" fillId="0" borderId="33" xfId="0" applyFill="1" applyBorder="1"/>
    <xf numFmtId="0" fontId="0" fillId="0" borderId="6" xfId="0" applyFill="1" applyBorder="1"/>
    <xf numFmtId="0" fontId="0" fillId="0" borderId="5" xfId="0" applyBorder="1"/>
    <xf numFmtId="0" fontId="0" fillId="6" borderId="33" xfId="0" applyFill="1" applyBorder="1"/>
    <xf numFmtId="0" fontId="0" fillId="0" borderId="33" xfId="0" applyBorder="1"/>
    <xf numFmtId="0" fontId="0" fillId="0" borderId="6" xfId="0" applyBorder="1"/>
    <xf numFmtId="0" fontId="0" fillId="2" borderId="4" xfId="0" applyFill="1" applyBorder="1"/>
    <xf numFmtId="0" fontId="0" fillId="4" borderId="0" xfId="0" applyFill="1" applyBorder="1"/>
    <xf numFmtId="0" fontId="0" fillId="0" borderId="5" xfId="0" applyNumberFormat="1" applyFill="1" applyBorder="1"/>
    <xf numFmtId="0" fontId="0" fillId="4" borderId="33" xfId="0" applyFill="1" applyBorder="1"/>
    <xf numFmtId="0" fontId="0" fillId="0" borderId="8" xfId="0" applyNumberFormat="1" applyBorder="1"/>
    <xf numFmtId="0" fontId="0" fillId="0" borderId="34" xfId="0" applyNumberFormat="1" applyBorder="1"/>
    <xf numFmtId="0" fontId="0" fillId="0" borderId="34" xfId="0" applyBorder="1"/>
    <xf numFmtId="0" fontId="0" fillId="0" borderId="9" xfId="0" applyBorder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2" borderId="0" xfId="0" applyNumberFormat="1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0" borderId="34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0" borderId="5" xfId="0" applyNumberFormat="1" applyFill="1" applyBorder="1" applyAlignment="1">
      <alignment horizontal="center"/>
    </xf>
    <xf numFmtId="0" fontId="0" fillId="2" borderId="5" xfId="0" applyFill="1" applyBorder="1"/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1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vertical="center" wrapText="1"/>
    </xf>
    <xf numFmtId="0" fontId="0" fillId="0" borderId="0" xfId="0" applyNumberFormat="1" applyFill="1" applyBorder="1" applyAlignment="1">
      <alignment horizontal="center"/>
    </xf>
    <xf numFmtId="0" fontId="0" fillId="0" borderId="33" xfId="0" applyNumberFormat="1" applyFill="1" applyBorder="1" applyAlignment="1">
      <alignment horizontal="center"/>
    </xf>
    <xf numFmtId="0" fontId="0" fillId="0" borderId="6" xfId="0" applyNumberFormat="1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0" borderId="32" xfId="0" applyNumberFormat="1" applyFill="1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9" xfId="0" applyFill="1" applyBorder="1"/>
    <xf numFmtId="0" fontId="0" fillId="7" borderId="0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33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R85"/>
  <sheetViews>
    <sheetView zoomScaleNormal="100" workbookViewId="0">
      <selection activeCell="BK21" sqref="BK21"/>
    </sheetView>
  </sheetViews>
  <sheetFormatPr baseColWidth="10" defaultRowHeight="15" x14ac:dyDescent="0.25"/>
  <cols>
    <col min="6" max="6" width="17.42578125" bestFit="1" customWidth="1"/>
    <col min="7" max="7" width="6.28515625" style="29" bestFit="1" customWidth="1"/>
    <col min="8" max="22" width="4.140625" style="29" customWidth="1"/>
    <col min="23" max="37" width="4.140625" style="75" customWidth="1"/>
    <col min="38" max="38" width="4.140625" style="29" customWidth="1"/>
    <col min="39" max="40" width="4.140625" style="31" customWidth="1"/>
    <col min="41" max="41" width="6" style="31" customWidth="1"/>
    <col min="42" max="48" width="4.140625" style="31" customWidth="1"/>
    <col min="49" max="49" width="9" bestFit="1" customWidth="1"/>
    <col min="50" max="54" width="4.140625" style="31" customWidth="1"/>
    <col min="55" max="56" width="4.28515625" style="31" customWidth="1"/>
    <col min="57" max="59" width="4.140625" style="31" customWidth="1"/>
    <col min="60" max="61" width="4.140625" customWidth="1"/>
    <col min="62" max="62" width="8.42578125" bestFit="1" customWidth="1"/>
    <col min="63" max="63" width="5.85546875" style="26" customWidth="1"/>
    <col min="64" max="71" width="3.42578125" customWidth="1"/>
  </cols>
  <sheetData>
    <row r="1" spans="2:63" ht="15.75" thickBot="1" x14ac:dyDescent="0.3">
      <c r="AW1" s="45"/>
      <c r="BH1" s="45"/>
    </row>
    <row r="2" spans="2:63" x14ac:dyDescent="0.25">
      <c r="B2" s="16" t="s">
        <v>16</v>
      </c>
      <c r="C2" s="102" t="s">
        <v>14</v>
      </c>
      <c r="D2" s="103"/>
      <c r="E2" s="14"/>
      <c r="AW2" s="46"/>
      <c r="BH2" s="46"/>
      <c r="BJ2" t="s">
        <v>83</v>
      </c>
      <c r="BK2" s="26" t="s">
        <v>84</v>
      </c>
    </row>
    <row r="3" spans="2:63" x14ac:dyDescent="0.25">
      <c r="B3" s="17" t="s">
        <v>0</v>
      </c>
      <c r="C3" s="20" t="s">
        <v>2</v>
      </c>
      <c r="D3" s="21" t="s">
        <v>3</v>
      </c>
      <c r="E3" s="15" t="s">
        <v>13</v>
      </c>
      <c r="W3" s="75" t="s">
        <v>19</v>
      </c>
      <c r="X3" s="75" t="s">
        <v>0</v>
      </c>
      <c r="Y3" s="75" t="s">
        <v>103</v>
      </c>
      <c r="Z3" s="75" t="s">
        <v>1</v>
      </c>
      <c r="AA3" s="75" t="s">
        <v>8</v>
      </c>
      <c r="AB3" s="104" t="s">
        <v>0</v>
      </c>
      <c r="AC3" s="75" t="s">
        <v>8</v>
      </c>
      <c r="AD3" s="75" t="s">
        <v>19</v>
      </c>
      <c r="AQ3" s="74" t="s">
        <v>22</v>
      </c>
      <c r="AW3" s="46"/>
      <c r="BB3" s="74" t="s">
        <v>27</v>
      </c>
      <c r="BH3" s="46"/>
    </row>
    <row r="4" spans="2:63" ht="15.75" thickBot="1" x14ac:dyDescent="0.3">
      <c r="B4" s="18" t="s">
        <v>1</v>
      </c>
      <c r="C4" s="22" t="s">
        <v>2</v>
      </c>
      <c r="D4" s="23" t="s">
        <v>4</v>
      </c>
      <c r="E4" s="15" t="s">
        <v>13</v>
      </c>
      <c r="G4" s="29" t="s">
        <v>102</v>
      </c>
      <c r="H4" s="111">
        <v>8</v>
      </c>
      <c r="I4" s="112">
        <v>7</v>
      </c>
      <c r="J4" s="112">
        <v>6</v>
      </c>
      <c r="K4" s="112">
        <v>5</v>
      </c>
      <c r="L4" s="113">
        <v>4</v>
      </c>
      <c r="M4" s="114"/>
      <c r="N4" s="115"/>
      <c r="O4" s="112">
        <v>15</v>
      </c>
      <c r="P4" s="112">
        <v>17</v>
      </c>
      <c r="Q4" s="112">
        <v>18</v>
      </c>
      <c r="R4" s="112">
        <v>19</v>
      </c>
      <c r="S4" s="112">
        <v>20</v>
      </c>
      <c r="T4" s="112">
        <v>21</v>
      </c>
      <c r="U4" s="112">
        <v>22</v>
      </c>
      <c r="V4" s="112">
        <v>23</v>
      </c>
      <c r="W4" s="76">
        <v>4</v>
      </c>
      <c r="X4" s="77">
        <v>5</v>
      </c>
      <c r="Y4" s="77">
        <v>6</v>
      </c>
      <c r="Z4" s="77">
        <v>7</v>
      </c>
      <c r="AA4" s="78">
        <v>8</v>
      </c>
      <c r="AB4" s="79">
        <v>14</v>
      </c>
      <c r="AC4" s="79">
        <v>16</v>
      </c>
      <c r="AD4" s="80">
        <v>23</v>
      </c>
      <c r="AE4" s="105">
        <v>15</v>
      </c>
      <c r="AF4" s="79">
        <v>17</v>
      </c>
      <c r="AG4" s="79">
        <v>18</v>
      </c>
      <c r="AH4" s="79">
        <v>19</v>
      </c>
      <c r="AI4" s="79">
        <v>20</v>
      </c>
      <c r="AJ4" s="79">
        <v>21</v>
      </c>
      <c r="AK4" s="80">
        <v>22</v>
      </c>
      <c r="AM4" s="32"/>
      <c r="AN4" s="33"/>
      <c r="AO4" s="99" t="s">
        <v>87</v>
      </c>
      <c r="AP4" s="99"/>
      <c r="AQ4" s="55"/>
      <c r="AR4" s="33"/>
      <c r="AS4" s="99" t="s">
        <v>87</v>
      </c>
      <c r="AT4" s="99"/>
      <c r="AU4" s="54"/>
      <c r="AV4" s="34"/>
      <c r="AW4" s="46"/>
      <c r="AX4" s="32"/>
      <c r="AY4" s="33"/>
      <c r="AZ4" s="99" t="s">
        <v>87</v>
      </c>
      <c r="BA4" s="99"/>
      <c r="BB4" s="55"/>
      <c r="BC4" s="33"/>
      <c r="BD4" s="99" t="s">
        <v>87</v>
      </c>
      <c r="BE4" s="99"/>
      <c r="BF4" s="54"/>
      <c r="BG4" s="34"/>
      <c r="BH4" s="46"/>
      <c r="BJ4" t="s">
        <v>22</v>
      </c>
      <c r="BK4" t="s">
        <v>88</v>
      </c>
    </row>
    <row r="5" spans="2:63" ht="15.75" thickBot="1" x14ac:dyDescent="0.3">
      <c r="B5" s="18" t="s">
        <v>8</v>
      </c>
      <c r="C5" s="22" t="s">
        <v>2</v>
      </c>
      <c r="D5" s="23" t="s">
        <v>21</v>
      </c>
      <c r="E5" s="15" t="s">
        <v>13</v>
      </c>
      <c r="G5" s="29" t="s">
        <v>16</v>
      </c>
      <c r="H5" s="116" t="s">
        <v>32</v>
      </c>
      <c r="I5" s="117" t="s">
        <v>33</v>
      </c>
      <c r="J5" s="117" t="s">
        <v>34</v>
      </c>
      <c r="K5" s="117" t="s">
        <v>35</v>
      </c>
      <c r="L5" s="118" t="s">
        <v>36</v>
      </c>
      <c r="M5" s="119" t="s">
        <v>22</v>
      </c>
      <c r="N5" s="120" t="s">
        <v>31</v>
      </c>
      <c r="O5" s="117" t="s">
        <v>30</v>
      </c>
      <c r="P5" s="117" t="s">
        <v>29</v>
      </c>
      <c r="Q5" s="117" t="s">
        <v>28</v>
      </c>
      <c r="R5" s="117" t="s">
        <v>27</v>
      </c>
      <c r="S5" s="117" t="s">
        <v>26</v>
      </c>
      <c r="T5" s="117" t="s">
        <v>25</v>
      </c>
      <c r="U5" s="117" t="s">
        <v>24</v>
      </c>
      <c r="V5" s="117" t="s">
        <v>23</v>
      </c>
      <c r="W5" s="81" t="s">
        <v>34</v>
      </c>
      <c r="X5" s="82" t="s">
        <v>35</v>
      </c>
      <c r="Y5" s="82" t="s">
        <v>36</v>
      </c>
      <c r="Z5" s="82" t="s">
        <v>86</v>
      </c>
      <c r="AA5" s="83" t="s">
        <v>87</v>
      </c>
      <c r="AB5" s="84" t="s">
        <v>22</v>
      </c>
      <c r="AC5" s="84" t="s">
        <v>24</v>
      </c>
      <c r="AD5" s="85" t="s">
        <v>31</v>
      </c>
      <c r="AE5" s="106" t="s">
        <v>23</v>
      </c>
      <c r="AF5" s="84" t="s">
        <v>25</v>
      </c>
      <c r="AG5" s="84" t="s">
        <v>26</v>
      </c>
      <c r="AH5" s="84" t="s">
        <v>27</v>
      </c>
      <c r="AI5" s="84" t="s">
        <v>28</v>
      </c>
      <c r="AJ5" s="84" t="s">
        <v>29</v>
      </c>
      <c r="AK5" s="85" t="s">
        <v>30</v>
      </c>
      <c r="AM5" s="35"/>
      <c r="AN5" s="32"/>
      <c r="AO5" s="33"/>
      <c r="AP5" s="33"/>
      <c r="AQ5" s="34"/>
      <c r="AR5" s="32"/>
      <c r="AS5" s="33"/>
      <c r="AT5" s="33"/>
      <c r="AU5" s="34"/>
      <c r="AV5" s="52"/>
      <c r="AW5" s="46"/>
      <c r="AX5" s="35"/>
      <c r="AY5" s="32"/>
      <c r="AZ5" s="33"/>
      <c r="BA5" s="33"/>
      <c r="BB5" s="33"/>
      <c r="BC5" s="57">
        <v>0</v>
      </c>
      <c r="BD5" s="59">
        <v>0</v>
      </c>
      <c r="BE5" s="33"/>
      <c r="BF5" s="34"/>
      <c r="BG5" s="52"/>
      <c r="BH5" s="46"/>
      <c r="BJ5" t="s">
        <v>23</v>
      </c>
      <c r="BK5" t="s">
        <v>89</v>
      </c>
    </row>
    <row r="6" spans="2:63" x14ac:dyDescent="0.25">
      <c r="B6" s="18" t="s">
        <v>19</v>
      </c>
      <c r="C6" s="22" t="s">
        <v>2</v>
      </c>
      <c r="D6" s="23" t="s">
        <v>18</v>
      </c>
      <c r="E6" s="15" t="s">
        <v>13</v>
      </c>
      <c r="H6" s="121">
        <v>0</v>
      </c>
      <c r="I6" s="122">
        <v>0</v>
      </c>
      <c r="J6" s="122">
        <v>0</v>
      </c>
      <c r="K6" s="122">
        <v>0</v>
      </c>
      <c r="L6" s="123">
        <v>0</v>
      </c>
      <c r="M6" s="111"/>
      <c r="N6" s="113"/>
      <c r="O6" s="112"/>
      <c r="P6" s="112"/>
      <c r="Q6" s="112"/>
      <c r="R6" s="111">
        <v>1</v>
      </c>
      <c r="S6" s="112">
        <v>1</v>
      </c>
      <c r="T6" s="112">
        <v>1</v>
      </c>
      <c r="U6" s="112"/>
      <c r="V6" s="124"/>
      <c r="W6" s="86">
        <v>0</v>
      </c>
      <c r="X6" s="87">
        <v>0</v>
      </c>
      <c r="Y6" s="87">
        <v>0</v>
      </c>
      <c r="Z6" s="87">
        <v>0</v>
      </c>
      <c r="AA6" s="88">
        <v>0</v>
      </c>
      <c r="AB6" s="87"/>
      <c r="AC6" s="87"/>
      <c r="AD6" s="88"/>
      <c r="AE6" s="86"/>
      <c r="AF6" s="87"/>
      <c r="AG6" s="87"/>
      <c r="AH6" s="87">
        <v>1</v>
      </c>
      <c r="AI6" s="87">
        <v>1</v>
      </c>
      <c r="AJ6" s="87">
        <v>1</v>
      </c>
      <c r="AK6" s="88"/>
      <c r="AM6" s="100" t="s">
        <v>86</v>
      </c>
      <c r="AN6" s="57">
        <v>1</v>
      </c>
      <c r="AO6" s="58">
        <v>1</v>
      </c>
      <c r="AP6" s="58">
        <v>1</v>
      </c>
      <c r="AQ6" s="59">
        <v>1</v>
      </c>
      <c r="AR6" s="37"/>
      <c r="AS6" s="37"/>
      <c r="AT6" s="37"/>
      <c r="AU6" s="36"/>
      <c r="AV6" s="53"/>
      <c r="AW6" s="46"/>
      <c r="AX6" s="100" t="s">
        <v>86</v>
      </c>
      <c r="AY6" s="35"/>
      <c r="AZ6" s="37"/>
      <c r="BA6" s="37"/>
      <c r="BB6" s="37"/>
      <c r="BC6" s="63">
        <v>0</v>
      </c>
      <c r="BD6" s="64">
        <v>0</v>
      </c>
      <c r="BE6" s="37"/>
      <c r="BF6" s="36"/>
      <c r="BG6" s="53"/>
      <c r="BH6" s="46"/>
      <c r="BJ6" t="s">
        <v>24</v>
      </c>
      <c r="BK6" t="s">
        <v>90</v>
      </c>
    </row>
    <row r="7" spans="2:63" ht="15.75" thickBot="1" x14ac:dyDescent="0.3">
      <c r="B7" s="18" t="s">
        <v>10</v>
      </c>
      <c r="C7" s="22" t="s">
        <v>5</v>
      </c>
      <c r="D7" s="23" t="s">
        <v>6</v>
      </c>
      <c r="E7" s="14" t="s">
        <v>7</v>
      </c>
      <c r="H7" s="125">
        <v>0</v>
      </c>
      <c r="I7" s="1">
        <v>0</v>
      </c>
      <c r="J7" s="1">
        <v>0</v>
      </c>
      <c r="K7" s="1">
        <v>0</v>
      </c>
      <c r="L7" s="126">
        <v>1</v>
      </c>
      <c r="M7" s="127"/>
      <c r="N7" s="129"/>
      <c r="Q7" s="29">
        <v>1</v>
      </c>
      <c r="R7" s="127">
        <v>1</v>
      </c>
      <c r="T7" s="29">
        <v>1</v>
      </c>
      <c r="V7" s="128"/>
      <c r="W7" s="86">
        <v>0</v>
      </c>
      <c r="X7" s="87">
        <v>0</v>
      </c>
      <c r="Y7" s="87">
        <v>0</v>
      </c>
      <c r="Z7" s="87">
        <v>0</v>
      </c>
      <c r="AA7" s="88">
        <v>1</v>
      </c>
      <c r="AB7" s="87"/>
      <c r="AC7" s="87">
        <v>1</v>
      </c>
      <c r="AD7" s="88">
        <v>1</v>
      </c>
      <c r="AE7" s="86"/>
      <c r="AF7" s="87"/>
      <c r="AG7" s="87"/>
      <c r="AH7" s="87">
        <v>1</v>
      </c>
      <c r="AI7" s="87">
        <v>1</v>
      </c>
      <c r="AJ7" s="87">
        <v>1</v>
      </c>
      <c r="AK7" s="88"/>
      <c r="AM7" s="100"/>
      <c r="AN7" s="60">
        <v>1</v>
      </c>
      <c r="AO7" s="61">
        <v>1</v>
      </c>
      <c r="AP7" s="61">
        <v>1</v>
      </c>
      <c r="AQ7" s="62">
        <v>1</v>
      </c>
      <c r="AR7" s="37"/>
      <c r="AS7" s="37"/>
      <c r="AT7" s="37"/>
      <c r="AU7" s="36"/>
      <c r="AV7" s="98" t="s">
        <v>34</v>
      </c>
      <c r="AW7" s="46"/>
      <c r="AX7" s="100"/>
      <c r="AY7" s="35"/>
      <c r="AZ7" s="37"/>
      <c r="BA7" s="37"/>
      <c r="BB7" s="37"/>
      <c r="BC7" s="63">
        <v>0</v>
      </c>
      <c r="BD7" s="64">
        <v>0</v>
      </c>
      <c r="BE7" s="37"/>
      <c r="BF7" s="36"/>
      <c r="BG7" s="98" t="s">
        <v>34</v>
      </c>
      <c r="BH7" s="46"/>
      <c r="BJ7" t="s">
        <v>25</v>
      </c>
      <c r="BK7" s="26" t="s">
        <v>91</v>
      </c>
    </row>
    <row r="8" spans="2:63" ht="15.75" thickBot="1" x14ac:dyDescent="0.3">
      <c r="B8" s="18" t="s">
        <v>9</v>
      </c>
      <c r="C8" s="22" t="s">
        <v>5</v>
      </c>
      <c r="D8" s="23" t="s">
        <v>12</v>
      </c>
      <c r="E8" s="14" t="s">
        <v>7</v>
      </c>
      <c r="H8" s="125">
        <v>0</v>
      </c>
      <c r="I8" s="1">
        <v>0</v>
      </c>
      <c r="J8" s="1">
        <v>0</v>
      </c>
      <c r="K8" s="1">
        <v>1</v>
      </c>
      <c r="L8" s="126">
        <v>0</v>
      </c>
      <c r="M8" s="127"/>
      <c r="N8" s="129"/>
      <c r="R8" s="127">
        <v>1</v>
      </c>
      <c r="S8" s="29">
        <v>1</v>
      </c>
      <c r="T8" s="29">
        <v>1</v>
      </c>
      <c r="V8" s="128"/>
      <c r="W8" s="86">
        <v>0</v>
      </c>
      <c r="X8" s="87">
        <v>0</v>
      </c>
      <c r="Y8" s="87">
        <v>0</v>
      </c>
      <c r="Z8" s="87">
        <v>1</v>
      </c>
      <c r="AA8" s="88">
        <v>0</v>
      </c>
      <c r="AB8" s="87">
        <v>1</v>
      </c>
      <c r="AC8" s="87"/>
      <c r="AD8" s="88"/>
      <c r="AE8" s="86"/>
      <c r="AF8" s="87"/>
      <c r="AG8" s="87"/>
      <c r="AH8" s="87">
        <v>1</v>
      </c>
      <c r="AI8" s="87">
        <v>1</v>
      </c>
      <c r="AJ8" s="87">
        <v>1</v>
      </c>
      <c r="AK8" s="88"/>
      <c r="AM8" s="50"/>
      <c r="AN8" s="38"/>
      <c r="AO8" s="39"/>
      <c r="AP8" s="39"/>
      <c r="AQ8" s="40"/>
      <c r="AR8" s="38"/>
      <c r="AS8" s="39"/>
      <c r="AT8" s="39"/>
      <c r="AU8" s="40"/>
      <c r="AV8" s="98"/>
      <c r="AW8" s="46"/>
      <c r="AX8" s="50"/>
      <c r="AY8" s="38"/>
      <c r="AZ8" s="39"/>
      <c r="BA8" s="39"/>
      <c r="BB8" s="39"/>
      <c r="BC8" s="60">
        <v>0</v>
      </c>
      <c r="BD8" s="62">
        <v>0</v>
      </c>
      <c r="BE8" s="39"/>
      <c r="BF8" s="40"/>
      <c r="BG8" s="98"/>
      <c r="BH8" s="46"/>
      <c r="BJ8" t="s">
        <v>26</v>
      </c>
      <c r="BK8" t="s">
        <v>92</v>
      </c>
    </row>
    <row r="9" spans="2:63" ht="15.75" thickBot="1" x14ac:dyDescent="0.3">
      <c r="B9" s="19" t="s">
        <v>11</v>
      </c>
      <c r="C9" s="24" t="s">
        <v>85</v>
      </c>
      <c r="D9" s="25" t="s">
        <v>15</v>
      </c>
      <c r="E9" s="14" t="s">
        <v>13</v>
      </c>
      <c r="H9" s="125">
        <v>0</v>
      </c>
      <c r="I9" s="1">
        <v>0</v>
      </c>
      <c r="J9" s="1">
        <v>0</v>
      </c>
      <c r="K9" s="1">
        <v>1</v>
      </c>
      <c r="L9" s="126">
        <v>1</v>
      </c>
      <c r="M9" s="127"/>
      <c r="N9" s="129"/>
      <c r="R9" s="125">
        <v>1</v>
      </c>
      <c r="S9" s="29">
        <v>1</v>
      </c>
      <c r="T9" s="1">
        <v>1</v>
      </c>
      <c r="V9" s="128"/>
      <c r="W9" s="86">
        <v>0</v>
      </c>
      <c r="X9" s="87">
        <v>0</v>
      </c>
      <c r="Y9" s="87">
        <v>0</v>
      </c>
      <c r="Z9" s="87">
        <v>1</v>
      </c>
      <c r="AA9" s="88">
        <v>1</v>
      </c>
      <c r="AB9" s="87">
        <v>1</v>
      </c>
      <c r="AC9" s="87">
        <v>1</v>
      </c>
      <c r="AD9" s="88">
        <v>1</v>
      </c>
      <c r="AE9" s="86"/>
      <c r="AF9" s="87"/>
      <c r="AG9" s="87"/>
      <c r="AH9" s="87">
        <v>1</v>
      </c>
      <c r="AI9" s="87">
        <v>1</v>
      </c>
      <c r="AJ9" s="87">
        <v>1</v>
      </c>
      <c r="AK9" s="88"/>
      <c r="AM9" s="35"/>
      <c r="AN9" s="37"/>
      <c r="AO9" s="2"/>
      <c r="AP9" s="96" t="s">
        <v>36</v>
      </c>
      <c r="AQ9" s="96"/>
      <c r="AR9" s="96"/>
      <c r="AS9" s="96"/>
      <c r="AT9" s="2"/>
      <c r="AU9" s="37"/>
      <c r="AV9" s="36"/>
      <c r="AW9" s="46"/>
      <c r="AX9" s="35"/>
      <c r="AY9" s="37"/>
      <c r="AZ9" s="2"/>
      <c r="BA9" s="96" t="s">
        <v>36</v>
      </c>
      <c r="BB9" s="96"/>
      <c r="BC9" s="96"/>
      <c r="BD9" s="96"/>
      <c r="BE9" s="2"/>
      <c r="BF9" s="37"/>
      <c r="BG9" s="36"/>
      <c r="BH9" s="46"/>
      <c r="BJ9" t="s">
        <v>82</v>
      </c>
      <c r="BK9" t="s">
        <v>93</v>
      </c>
    </row>
    <row r="10" spans="2:63" x14ac:dyDescent="0.25">
      <c r="H10" s="125">
        <v>0</v>
      </c>
      <c r="I10" s="1">
        <v>0</v>
      </c>
      <c r="J10" s="1">
        <v>1</v>
      </c>
      <c r="K10" s="1">
        <v>0</v>
      </c>
      <c r="L10" s="126">
        <v>0</v>
      </c>
      <c r="M10" s="127"/>
      <c r="N10" s="129"/>
      <c r="Q10" s="29">
        <v>1</v>
      </c>
      <c r="R10" s="125">
        <v>1</v>
      </c>
      <c r="T10" s="1">
        <v>1</v>
      </c>
      <c r="V10" s="1">
        <v>1</v>
      </c>
      <c r="W10" s="86">
        <v>0</v>
      </c>
      <c r="X10" s="87">
        <v>0</v>
      </c>
      <c r="Y10" s="87">
        <v>1</v>
      </c>
      <c r="Z10" s="87">
        <v>0</v>
      </c>
      <c r="AA10" s="88">
        <v>0</v>
      </c>
      <c r="AB10" s="87"/>
      <c r="AC10" s="87"/>
      <c r="AD10" s="88">
        <v>1</v>
      </c>
      <c r="AE10" s="86"/>
      <c r="AF10" s="87"/>
      <c r="AG10" s="87">
        <v>1</v>
      </c>
      <c r="AH10" s="87">
        <v>1</v>
      </c>
      <c r="AI10" s="87"/>
      <c r="AJ10" s="87">
        <v>1</v>
      </c>
      <c r="AK10" s="88"/>
      <c r="AM10" s="51"/>
      <c r="AN10" s="48"/>
      <c r="AO10" s="49"/>
      <c r="AP10" s="49"/>
      <c r="AQ10" s="48"/>
      <c r="AR10" s="97" t="s">
        <v>35</v>
      </c>
      <c r="AS10" s="97"/>
      <c r="AT10" s="97"/>
      <c r="AU10" s="97"/>
      <c r="AV10" s="40"/>
      <c r="AW10" s="46"/>
      <c r="AX10" s="51"/>
      <c r="AY10" s="48"/>
      <c r="AZ10" s="49"/>
      <c r="BA10" s="49"/>
      <c r="BB10" s="48"/>
      <c r="BC10" s="97" t="s">
        <v>35</v>
      </c>
      <c r="BD10" s="97"/>
      <c r="BE10" s="97"/>
      <c r="BF10" s="97"/>
      <c r="BG10" s="40"/>
      <c r="BH10" s="46"/>
      <c r="BI10" s="30"/>
      <c r="BJ10" t="s">
        <v>94</v>
      </c>
      <c r="BK10" t="s">
        <v>95</v>
      </c>
    </row>
    <row r="11" spans="2:63" x14ac:dyDescent="0.25">
      <c r="B11" t="s">
        <v>17</v>
      </c>
      <c r="H11" s="125">
        <v>0</v>
      </c>
      <c r="I11" s="1">
        <v>0</v>
      </c>
      <c r="J11" s="1">
        <v>1</v>
      </c>
      <c r="K11" s="1">
        <v>0</v>
      </c>
      <c r="L11" s="126">
        <v>1</v>
      </c>
      <c r="M11" s="127"/>
      <c r="N11" s="129"/>
      <c r="Q11" s="29">
        <v>1</v>
      </c>
      <c r="R11" s="125">
        <v>1</v>
      </c>
      <c r="T11" s="1">
        <v>1</v>
      </c>
      <c r="V11" s="128"/>
      <c r="W11" s="86">
        <v>0</v>
      </c>
      <c r="X11" s="87">
        <v>0</v>
      </c>
      <c r="Y11" s="87">
        <v>1</v>
      </c>
      <c r="Z11" s="87">
        <v>0</v>
      </c>
      <c r="AA11" s="88">
        <v>1</v>
      </c>
      <c r="AB11" s="87"/>
      <c r="AC11" s="87">
        <v>1</v>
      </c>
      <c r="AD11" s="88">
        <v>1</v>
      </c>
      <c r="AE11" s="86"/>
      <c r="AF11" s="87"/>
      <c r="AG11" s="87">
        <v>1</v>
      </c>
      <c r="AH11" s="87">
        <v>1</v>
      </c>
      <c r="AI11" s="87"/>
      <c r="AJ11" s="87">
        <v>1</v>
      </c>
      <c r="AK11" s="88"/>
      <c r="AQ11" s="74" t="s">
        <v>23</v>
      </c>
      <c r="AW11" s="46"/>
      <c r="BB11" s="74" t="s">
        <v>28</v>
      </c>
      <c r="BH11" s="46"/>
      <c r="BJ11" t="s">
        <v>29</v>
      </c>
      <c r="BK11" t="s">
        <v>96</v>
      </c>
    </row>
    <row r="12" spans="2:63" ht="15.75" thickBot="1" x14ac:dyDescent="0.3">
      <c r="B12" s="10" t="s">
        <v>0</v>
      </c>
      <c r="C12" s="11" t="s">
        <v>1</v>
      </c>
      <c r="D12" s="12" t="s">
        <v>10</v>
      </c>
      <c r="E12" s="13" t="s">
        <v>9</v>
      </c>
      <c r="F12" s="13" t="s">
        <v>11</v>
      </c>
      <c r="H12" s="125">
        <v>0</v>
      </c>
      <c r="I12" s="1">
        <v>0</v>
      </c>
      <c r="J12" s="1">
        <v>1</v>
      </c>
      <c r="K12" s="1">
        <v>1</v>
      </c>
      <c r="L12" s="126">
        <v>0</v>
      </c>
      <c r="M12" s="127"/>
      <c r="N12" s="129"/>
      <c r="R12" s="127"/>
      <c r="S12" s="29">
        <v>1</v>
      </c>
      <c r="T12" s="1">
        <v>1</v>
      </c>
      <c r="V12" s="1">
        <v>1</v>
      </c>
      <c r="W12" s="86">
        <v>0</v>
      </c>
      <c r="X12" s="87">
        <v>0</v>
      </c>
      <c r="Y12" s="87">
        <v>1</v>
      </c>
      <c r="Z12" s="87">
        <v>1</v>
      </c>
      <c r="AA12" s="88">
        <v>0</v>
      </c>
      <c r="AB12" s="87">
        <v>1</v>
      </c>
      <c r="AC12" s="87"/>
      <c r="AD12" s="88"/>
      <c r="AE12" s="86"/>
      <c r="AF12" s="87"/>
      <c r="AG12" s="87"/>
      <c r="AH12" s="87">
        <v>1</v>
      </c>
      <c r="AI12" s="87">
        <v>1</v>
      </c>
      <c r="AJ12" s="87">
        <v>1</v>
      </c>
      <c r="AK12" s="88"/>
      <c r="AM12" s="32"/>
      <c r="AN12" s="33"/>
      <c r="AO12" s="99" t="s">
        <v>87</v>
      </c>
      <c r="AP12" s="99"/>
      <c r="AQ12" s="55"/>
      <c r="AR12" s="33"/>
      <c r="AS12" s="99" t="s">
        <v>87</v>
      </c>
      <c r="AT12" s="99"/>
      <c r="AU12" s="54"/>
      <c r="AV12" s="34"/>
      <c r="AW12" s="46"/>
      <c r="AX12" s="32"/>
      <c r="AY12" s="33"/>
      <c r="AZ12" s="99" t="s">
        <v>87</v>
      </c>
      <c r="BA12" s="99"/>
      <c r="BB12" s="55"/>
      <c r="BC12" s="33"/>
      <c r="BD12" s="99" t="s">
        <v>87</v>
      </c>
      <c r="BE12" s="99"/>
      <c r="BF12" s="54"/>
      <c r="BG12" s="34"/>
      <c r="BH12" s="46"/>
      <c r="BJ12" t="s">
        <v>30</v>
      </c>
      <c r="BK12" t="s">
        <v>97</v>
      </c>
    </row>
    <row r="13" spans="2:63" ht="15.75" thickTop="1" x14ac:dyDescent="0.25">
      <c r="B13" s="5">
        <v>0</v>
      </c>
      <c r="C13" s="6">
        <v>0</v>
      </c>
      <c r="D13" s="8" t="s">
        <v>0</v>
      </c>
      <c r="E13" s="5" t="s">
        <v>8</v>
      </c>
      <c r="F13" s="5" t="s">
        <v>11</v>
      </c>
      <c r="H13" s="125">
        <v>0</v>
      </c>
      <c r="I13" s="1">
        <v>0</v>
      </c>
      <c r="J13" s="1">
        <v>1</v>
      </c>
      <c r="K13" s="1">
        <v>1</v>
      </c>
      <c r="L13" s="126">
        <v>1</v>
      </c>
      <c r="M13" s="127"/>
      <c r="N13" s="129"/>
      <c r="R13" s="127"/>
      <c r="S13" s="1">
        <v>1</v>
      </c>
      <c r="T13" s="1"/>
      <c r="U13" s="1">
        <v>1</v>
      </c>
      <c r="V13" s="128"/>
      <c r="W13" s="86">
        <v>0</v>
      </c>
      <c r="X13" s="87">
        <v>0</v>
      </c>
      <c r="Y13" s="87">
        <v>1</v>
      </c>
      <c r="Z13" s="87">
        <v>1</v>
      </c>
      <c r="AA13" s="88">
        <v>1</v>
      </c>
      <c r="AB13" s="87">
        <v>1</v>
      </c>
      <c r="AC13" s="87">
        <v>1</v>
      </c>
      <c r="AD13" s="88">
        <v>1</v>
      </c>
      <c r="AE13" s="86"/>
      <c r="AF13" s="87"/>
      <c r="AG13" s="87"/>
      <c r="AH13" s="87">
        <v>1</v>
      </c>
      <c r="AI13" s="87">
        <v>1</v>
      </c>
      <c r="AJ13" s="87">
        <v>1</v>
      </c>
      <c r="AK13" s="88"/>
      <c r="AM13" s="35"/>
      <c r="AN13" s="32"/>
      <c r="AO13" s="33"/>
      <c r="AP13" s="33"/>
      <c r="AQ13" s="34"/>
      <c r="AR13" s="32"/>
      <c r="AS13" s="43">
        <v>1</v>
      </c>
      <c r="AT13" s="33"/>
      <c r="AU13" s="34"/>
      <c r="AV13" s="52"/>
      <c r="AW13" s="46"/>
      <c r="AX13" s="35"/>
      <c r="AY13" s="32"/>
      <c r="AZ13" s="33"/>
      <c r="BA13" s="43">
        <v>0</v>
      </c>
      <c r="BB13" s="41">
        <v>0</v>
      </c>
      <c r="BC13" s="32"/>
      <c r="BD13" s="33"/>
      <c r="BE13" s="33"/>
      <c r="BF13" s="34"/>
      <c r="BG13" s="52"/>
      <c r="BH13" s="46"/>
      <c r="BJ13" t="s">
        <v>98</v>
      </c>
      <c r="BK13" t="s">
        <v>99</v>
      </c>
    </row>
    <row r="14" spans="2:63" x14ac:dyDescent="0.25">
      <c r="B14" s="3">
        <v>0</v>
      </c>
      <c r="C14" s="7">
        <v>1</v>
      </c>
      <c r="D14" s="9" t="s">
        <v>0</v>
      </c>
      <c r="E14" s="3" t="s">
        <v>8</v>
      </c>
      <c r="F14" s="3" t="s">
        <v>11</v>
      </c>
      <c r="H14" s="125">
        <v>0</v>
      </c>
      <c r="I14" s="1">
        <v>1</v>
      </c>
      <c r="J14" s="1">
        <v>0</v>
      </c>
      <c r="K14" s="1">
        <v>0</v>
      </c>
      <c r="L14" s="126">
        <v>0</v>
      </c>
      <c r="M14" s="130">
        <v>1</v>
      </c>
      <c r="N14" s="129"/>
      <c r="R14" s="125">
        <v>1</v>
      </c>
      <c r="S14" s="1">
        <v>1</v>
      </c>
      <c r="T14" s="1">
        <v>1</v>
      </c>
      <c r="V14" s="128"/>
      <c r="W14" s="86">
        <v>0</v>
      </c>
      <c r="X14" s="87">
        <v>1</v>
      </c>
      <c r="Y14" s="87">
        <v>0</v>
      </c>
      <c r="Z14" s="87">
        <v>0</v>
      </c>
      <c r="AA14" s="88">
        <v>0</v>
      </c>
      <c r="AB14" s="87"/>
      <c r="AC14" s="87"/>
      <c r="AD14" s="88"/>
      <c r="AE14" s="86"/>
      <c r="AF14" s="87"/>
      <c r="AG14" s="87"/>
      <c r="AH14" s="87">
        <v>1</v>
      </c>
      <c r="AI14" s="87">
        <v>1</v>
      </c>
      <c r="AJ14" s="87">
        <v>1</v>
      </c>
      <c r="AK14" s="88"/>
      <c r="AM14" s="100" t="s">
        <v>86</v>
      </c>
      <c r="AN14" s="35"/>
      <c r="AO14" s="37"/>
      <c r="AP14" s="37"/>
      <c r="AQ14" s="36"/>
      <c r="AR14" s="35"/>
      <c r="AS14" s="37"/>
      <c r="AT14" s="37"/>
      <c r="AU14" s="36"/>
      <c r="AV14" s="53"/>
      <c r="AW14" s="46"/>
      <c r="AX14" s="100" t="s">
        <v>86</v>
      </c>
      <c r="AY14" s="35"/>
      <c r="AZ14" s="37"/>
      <c r="BA14" s="37"/>
      <c r="BB14" s="36"/>
      <c r="BC14" s="35"/>
      <c r="BD14" s="37"/>
      <c r="BE14" s="37"/>
      <c r="BF14" s="36"/>
      <c r="BG14" s="53"/>
      <c r="BH14" s="46"/>
    </row>
    <row r="15" spans="2:63" x14ac:dyDescent="0.25">
      <c r="B15" s="3">
        <v>1</v>
      </c>
      <c r="C15" s="7">
        <v>0</v>
      </c>
      <c r="D15" s="9" t="s">
        <v>0</v>
      </c>
      <c r="E15" s="3" t="s">
        <v>8</v>
      </c>
      <c r="F15" s="3" t="s">
        <v>11</v>
      </c>
      <c r="H15" s="125">
        <v>0</v>
      </c>
      <c r="I15" s="1">
        <v>1</v>
      </c>
      <c r="J15" s="1">
        <v>0</v>
      </c>
      <c r="K15" s="1">
        <v>0</v>
      </c>
      <c r="L15" s="126">
        <v>1</v>
      </c>
      <c r="M15" s="130">
        <v>1</v>
      </c>
      <c r="N15" s="129"/>
      <c r="R15" s="125">
        <v>1</v>
      </c>
      <c r="S15" s="1">
        <v>1</v>
      </c>
      <c r="T15" s="1">
        <v>1</v>
      </c>
      <c r="V15" s="128"/>
      <c r="W15" s="86">
        <v>0</v>
      </c>
      <c r="X15" s="87">
        <v>1</v>
      </c>
      <c r="Y15" s="87">
        <v>0</v>
      </c>
      <c r="Z15" s="87">
        <v>0</v>
      </c>
      <c r="AA15" s="88">
        <v>1</v>
      </c>
      <c r="AB15" s="87"/>
      <c r="AC15" s="87">
        <v>1</v>
      </c>
      <c r="AD15" s="88">
        <v>1</v>
      </c>
      <c r="AE15" s="86"/>
      <c r="AF15" s="87"/>
      <c r="AG15" s="87"/>
      <c r="AH15" s="87">
        <v>1</v>
      </c>
      <c r="AI15" s="87">
        <v>1</v>
      </c>
      <c r="AJ15" s="87">
        <v>1</v>
      </c>
      <c r="AK15" s="88"/>
      <c r="AM15" s="100"/>
      <c r="AN15" s="35"/>
      <c r="AO15" s="37"/>
      <c r="AP15" s="37"/>
      <c r="AQ15" s="36"/>
      <c r="AR15" s="35"/>
      <c r="AS15" s="37"/>
      <c r="AT15" s="37"/>
      <c r="AU15" s="36"/>
      <c r="AV15" s="98" t="s">
        <v>34</v>
      </c>
      <c r="AW15" s="46"/>
      <c r="AX15" s="100"/>
      <c r="AY15" s="35"/>
      <c r="AZ15" s="37"/>
      <c r="BA15" s="37"/>
      <c r="BB15" s="36"/>
      <c r="BC15" s="35"/>
      <c r="BD15" s="37"/>
      <c r="BE15" s="37"/>
      <c r="BF15" s="36"/>
      <c r="BG15" s="98" t="s">
        <v>34</v>
      </c>
      <c r="BH15" s="46"/>
    </row>
    <row r="16" spans="2:63" x14ac:dyDescent="0.25">
      <c r="B16" s="3">
        <v>1</v>
      </c>
      <c r="C16" s="7">
        <v>1</v>
      </c>
      <c r="D16" s="9">
        <v>0</v>
      </c>
      <c r="E16" s="4" t="s">
        <v>120</v>
      </c>
      <c r="F16" s="4">
        <v>1</v>
      </c>
      <c r="H16" s="125">
        <v>0</v>
      </c>
      <c r="I16" s="1">
        <v>1</v>
      </c>
      <c r="J16" s="1">
        <v>0</v>
      </c>
      <c r="K16" s="1">
        <v>1</v>
      </c>
      <c r="L16" s="126">
        <v>0</v>
      </c>
      <c r="M16" s="127"/>
      <c r="N16" s="129"/>
      <c r="R16" s="125">
        <v>1</v>
      </c>
      <c r="S16" s="1">
        <v>1</v>
      </c>
      <c r="T16" s="1">
        <v>1</v>
      </c>
      <c r="V16" s="131">
        <v>1</v>
      </c>
      <c r="W16" s="86">
        <v>0</v>
      </c>
      <c r="X16" s="87">
        <v>1</v>
      </c>
      <c r="Y16" s="87">
        <v>0</v>
      </c>
      <c r="Z16" s="87">
        <v>1</v>
      </c>
      <c r="AA16" s="88">
        <v>0</v>
      </c>
      <c r="AB16" s="87"/>
      <c r="AC16" s="87"/>
      <c r="AD16" s="88">
        <v>1</v>
      </c>
      <c r="AE16" s="86"/>
      <c r="AF16" s="87"/>
      <c r="AG16" s="87"/>
      <c r="AH16" s="87">
        <v>1</v>
      </c>
      <c r="AI16" s="87">
        <v>1</v>
      </c>
      <c r="AJ16" s="87">
        <v>1</v>
      </c>
      <c r="AK16" s="88"/>
      <c r="AM16" s="50"/>
      <c r="AN16" s="38"/>
      <c r="AO16" s="39"/>
      <c r="AP16" s="39"/>
      <c r="AQ16" s="40"/>
      <c r="AR16" s="38"/>
      <c r="AS16" s="39"/>
      <c r="AT16" s="39"/>
      <c r="AU16" s="40"/>
      <c r="AV16" s="98"/>
      <c r="AW16" s="46"/>
      <c r="AX16" s="50"/>
      <c r="AY16" s="56">
        <v>0</v>
      </c>
      <c r="AZ16" s="39"/>
      <c r="BA16" s="44">
        <v>0</v>
      </c>
      <c r="BB16" s="42">
        <v>0</v>
      </c>
      <c r="BC16" s="38"/>
      <c r="BD16" s="39"/>
      <c r="BE16" s="39"/>
      <c r="BF16" s="40"/>
      <c r="BG16" s="98"/>
      <c r="BH16" s="46"/>
    </row>
    <row r="17" spans="2:60" x14ac:dyDescent="0.25">
      <c r="H17" s="125">
        <v>0</v>
      </c>
      <c r="I17" s="1">
        <v>1</v>
      </c>
      <c r="J17" s="1">
        <v>0</v>
      </c>
      <c r="K17" s="1">
        <v>1</v>
      </c>
      <c r="L17" s="126">
        <v>1</v>
      </c>
      <c r="M17" s="127"/>
      <c r="N17" s="129"/>
      <c r="R17" s="125">
        <v>1</v>
      </c>
      <c r="S17" s="1">
        <v>1</v>
      </c>
      <c r="T17" s="1">
        <v>1</v>
      </c>
      <c r="V17" s="131">
        <v>1</v>
      </c>
      <c r="W17" s="86">
        <v>0</v>
      </c>
      <c r="X17" s="87">
        <v>1</v>
      </c>
      <c r="Y17" s="87">
        <v>0</v>
      </c>
      <c r="Z17" s="87">
        <v>1</v>
      </c>
      <c r="AA17" s="88">
        <v>1</v>
      </c>
      <c r="AB17" s="87"/>
      <c r="AC17" s="87"/>
      <c r="AD17" s="88">
        <v>1</v>
      </c>
      <c r="AE17" s="86"/>
      <c r="AF17" s="87"/>
      <c r="AG17" s="87"/>
      <c r="AH17" s="87">
        <v>1</v>
      </c>
      <c r="AI17" s="87">
        <v>1</v>
      </c>
      <c r="AJ17" s="87">
        <v>1</v>
      </c>
      <c r="AK17" s="88"/>
      <c r="AM17" s="35"/>
      <c r="AN17" s="37"/>
      <c r="AO17" s="2"/>
      <c r="AP17" s="96" t="s">
        <v>36</v>
      </c>
      <c r="AQ17" s="96"/>
      <c r="AR17" s="96"/>
      <c r="AS17" s="96"/>
      <c r="AT17" s="2"/>
      <c r="AU17" s="37"/>
      <c r="AV17" s="36"/>
      <c r="AW17" s="46"/>
      <c r="AX17" s="35"/>
      <c r="AY17" s="37"/>
      <c r="AZ17" s="2"/>
      <c r="BA17" s="96" t="s">
        <v>36</v>
      </c>
      <c r="BB17" s="96"/>
      <c r="BC17" s="96"/>
      <c r="BD17" s="96"/>
      <c r="BE17" s="2"/>
      <c r="BF17" s="37"/>
      <c r="BG17" s="36"/>
      <c r="BH17" s="46"/>
    </row>
    <row r="18" spans="2:60" x14ac:dyDescent="0.25">
      <c r="B18" t="s">
        <v>20</v>
      </c>
      <c r="H18" s="125">
        <v>0</v>
      </c>
      <c r="I18" s="1">
        <v>1</v>
      </c>
      <c r="J18" s="1">
        <v>1</v>
      </c>
      <c r="K18" s="1">
        <v>0</v>
      </c>
      <c r="L18" s="126">
        <v>0</v>
      </c>
      <c r="M18" s="130">
        <v>1</v>
      </c>
      <c r="N18" s="129"/>
      <c r="R18" s="125">
        <v>1</v>
      </c>
      <c r="S18" s="1">
        <v>1</v>
      </c>
      <c r="T18" s="1">
        <v>1</v>
      </c>
      <c r="V18" s="128"/>
      <c r="W18" s="86">
        <v>0</v>
      </c>
      <c r="X18" s="87">
        <v>1</v>
      </c>
      <c r="Y18" s="87">
        <v>1</v>
      </c>
      <c r="Z18" s="87">
        <v>0</v>
      </c>
      <c r="AA18" s="88">
        <v>0</v>
      </c>
      <c r="AB18" s="87"/>
      <c r="AC18" s="87"/>
      <c r="AD18" s="88">
        <v>1</v>
      </c>
      <c r="AE18" s="86"/>
      <c r="AF18" s="87"/>
      <c r="AG18" s="87"/>
      <c r="AH18" s="87"/>
      <c r="AI18" s="87">
        <v>1</v>
      </c>
      <c r="AJ18" s="87">
        <v>1</v>
      </c>
      <c r="AK18" s="88"/>
      <c r="AM18" s="51"/>
      <c r="AN18" s="48"/>
      <c r="AO18" s="49"/>
      <c r="AP18" s="49"/>
      <c r="AQ18" s="48"/>
      <c r="AR18" s="97" t="s">
        <v>35</v>
      </c>
      <c r="AS18" s="97"/>
      <c r="AT18" s="97"/>
      <c r="AU18" s="97"/>
      <c r="AV18" s="40"/>
      <c r="AW18" s="46"/>
      <c r="AX18" s="51"/>
      <c r="AY18" s="48"/>
      <c r="AZ18" s="49"/>
      <c r="BA18" s="49"/>
      <c r="BB18" s="48"/>
      <c r="BC18" s="97" t="s">
        <v>35</v>
      </c>
      <c r="BD18" s="97"/>
      <c r="BE18" s="97"/>
      <c r="BF18" s="97"/>
      <c r="BG18" s="40"/>
      <c r="BH18" s="46"/>
    </row>
    <row r="19" spans="2:60" x14ac:dyDescent="0.25">
      <c r="H19" s="125">
        <v>0</v>
      </c>
      <c r="I19" s="1">
        <v>1</v>
      </c>
      <c r="J19" s="1">
        <v>1</v>
      </c>
      <c r="K19" s="1">
        <v>0</v>
      </c>
      <c r="L19" s="126">
        <v>1</v>
      </c>
      <c r="M19" s="130">
        <v>1</v>
      </c>
      <c r="N19" s="129"/>
      <c r="R19" s="125">
        <v>1</v>
      </c>
      <c r="S19" s="1">
        <v>1</v>
      </c>
      <c r="T19" s="1">
        <v>1</v>
      </c>
      <c r="V19" s="128"/>
      <c r="W19" s="86">
        <v>0</v>
      </c>
      <c r="X19" s="87">
        <v>1</v>
      </c>
      <c r="Y19" s="87">
        <v>1</v>
      </c>
      <c r="Z19" s="87">
        <v>0</v>
      </c>
      <c r="AA19" s="88">
        <v>1</v>
      </c>
      <c r="AB19" s="87"/>
      <c r="AC19" s="87">
        <v>1</v>
      </c>
      <c r="AD19" s="88">
        <v>1</v>
      </c>
      <c r="AE19" s="86">
        <v>1</v>
      </c>
      <c r="AF19" s="87"/>
      <c r="AG19" s="87"/>
      <c r="AH19" s="87"/>
      <c r="AI19" s="87">
        <v>1</v>
      </c>
      <c r="AJ19" s="87">
        <v>1</v>
      </c>
      <c r="AK19" s="88"/>
      <c r="AQ19" s="74" t="s">
        <v>24</v>
      </c>
      <c r="AW19" s="46"/>
      <c r="BB19" s="74" t="s">
        <v>29</v>
      </c>
      <c r="BH19" s="46"/>
    </row>
    <row r="20" spans="2:60" ht="15.75" thickBot="1" x14ac:dyDescent="0.3">
      <c r="H20" s="125">
        <v>0</v>
      </c>
      <c r="I20" s="1">
        <v>1</v>
      </c>
      <c r="J20" s="1">
        <v>1</v>
      </c>
      <c r="K20" s="1">
        <v>1</v>
      </c>
      <c r="L20" s="126">
        <v>0</v>
      </c>
      <c r="M20" s="127"/>
      <c r="N20" s="129"/>
      <c r="Q20" s="29">
        <v>1</v>
      </c>
      <c r="R20" s="127"/>
      <c r="S20" s="1">
        <v>1</v>
      </c>
      <c r="T20" s="1">
        <v>1</v>
      </c>
      <c r="V20" s="131">
        <v>1</v>
      </c>
      <c r="W20" s="86">
        <v>0</v>
      </c>
      <c r="X20" s="87">
        <v>1</v>
      </c>
      <c r="Y20" s="87">
        <v>1</v>
      </c>
      <c r="Z20" s="87">
        <v>1</v>
      </c>
      <c r="AA20" s="88">
        <v>0</v>
      </c>
      <c r="AB20" s="87"/>
      <c r="AC20" s="87"/>
      <c r="AD20" s="88">
        <v>1</v>
      </c>
      <c r="AE20" s="86"/>
      <c r="AF20" s="87"/>
      <c r="AG20" s="87">
        <v>1</v>
      </c>
      <c r="AH20" s="87"/>
      <c r="AI20" s="87">
        <v>1</v>
      </c>
      <c r="AJ20" s="87">
        <v>1</v>
      </c>
      <c r="AK20" s="88"/>
      <c r="AM20" s="32"/>
      <c r="AN20" s="33"/>
      <c r="AO20" s="99" t="s">
        <v>87</v>
      </c>
      <c r="AP20" s="99"/>
      <c r="AQ20" s="55"/>
      <c r="AR20" s="33"/>
      <c r="AS20" s="99" t="s">
        <v>87</v>
      </c>
      <c r="AT20" s="99"/>
      <c r="AU20" s="54"/>
      <c r="AV20" s="34"/>
      <c r="AW20" s="46"/>
      <c r="AX20" s="32"/>
      <c r="AY20" s="33"/>
      <c r="AZ20" s="99" t="s">
        <v>87</v>
      </c>
      <c r="BA20" s="99"/>
      <c r="BB20" s="55"/>
      <c r="BC20" s="33"/>
      <c r="BD20" s="99" t="s">
        <v>87</v>
      </c>
      <c r="BE20" s="99"/>
      <c r="BF20" s="54"/>
      <c r="BG20" s="34"/>
      <c r="BH20" s="46"/>
    </row>
    <row r="21" spans="2:60" x14ac:dyDescent="0.25">
      <c r="H21" s="132">
        <v>0</v>
      </c>
      <c r="I21" s="133">
        <v>1</v>
      </c>
      <c r="J21" s="133">
        <v>1</v>
      </c>
      <c r="K21" s="133">
        <v>1</v>
      </c>
      <c r="L21" s="134">
        <v>1</v>
      </c>
      <c r="M21" s="135"/>
      <c r="N21" s="138"/>
      <c r="O21" s="137"/>
      <c r="P21" s="137"/>
      <c r="Q21" s="137">
        <v>1</v>
      </c>
      <c r="R21" s="157"/>
      <c r="S21" s="133">
        <v>1</v>
      </c>
      <c r="T21" s="133">
        <v>1</v>
      </c>
      <c r="U21" s="137"/>
      <c r="V21" s="136">
        <v>1</v>
      </c>
      <c r="W21" s="86">
        <v>0</v>
      </c>
      <c r="X21" s="87">
        <v>1</v>
      </c>
      <c r="Y21" s="87">
        <v>1</v>
      </c>
      <c r="Z21" s="87">
        <v>1</v>
      </c>
      <c r="AA21" s="88">
        <v>1</v>
      </c>
      <c r="AB21" s="87"/>
      <c r="AC21" s="87"/>
      <c r="AD21" s="88">
        <v>1</v>
      </c>
      <c r="AE21" s="86"/>
      <c r="AF21" s="87"/>
      <c r="AG21" s="87">
        <v>1</v>
      </c>
      <c r="AH21" s="87"/>
      <c r="AI21" s="87">
        <v>1</v>
      </c>
      <c r="AJ21" s="87">
        <v>1</v>
      </c>
      <c r="AK21" s="88"/>
      <c r="AM21" s="35"/>
      <c r="AN21" s="32"/>
      <c r="AO21" s="57">
        <v>1</v>
      </c>
      <c r="AP21" s="59">
        <v>1</v>
      </c>
      <c r="AQ21" s="34"/>
      <c r="AR21" s="32"/>
      <c r="AS21" s="43">
        <v>1</v>
      </c>
      <c r="AT21" s="43">
        <v>1</v>
      </c>
      <c r="AU21" s="34"/>
      <c r="AV21" s="52"/>
      <c r="AW21" s="46"/>
      <c r="AX21" s="35"/>
      <c r="AY21" s="32"/>
      <c r="AZ21" s="33"/>
      <c r="BA21" s="33"/>
      <c r="BB21" s="34"/>
      <c r="BC21" s="32"/>
      <c r="BD21" s="33"/>
      <c r="BE21" s="33"/>
      <c r="BF21" s="34"/>
      <c r="BG21" s="52"/>
      <c r="BH21" s="46"/>
    </row>
    <row r="22" spans="2:60" ht="15.75" thickBot="1" x14ac:dyDescent="0.3">
      <c r="B22" s="10" t="s">
        <v>35</v>
      </c>
      <c r="C22" s="11" t="s">
        <v>33</v>
      </c>
      <c r="D22" s="12" t="s">
        <v>22</v>
      </c>
      <c r="E22" s="13" t="s">
        <v>31</v>
      </c>
      <c r="F22" s="11" t="s">
        <v>23</v>
      </c>
      <c r="H22" s="121">
        <v>1</v>
      </c>
      <c r="I22" s="122">
        <v>0</v>
      </c>
      <c r="J22" s="122">
        <v>0</v>
      </c>
      <c r="K22" s="122">
        <v>0</v>
      </c>
      <c r="L22" s="123">
        <v>0</v>
      </c>
      <c r="M22" s="111"/>
      <c r="N22" s="115">
        <v>1</v>
      </c>
      <c r="O22" s="112"/>
      <c r="P22" s="112"/>
      <c r="Q22" s="112"/>
      <c r="R22" s="121">
        <v>1</v>
      </c>
      <c r="S22" s="122">
        <v>1</v>
      </c>
      <c r="T22" s="122">
        <v>1</v>
      </c>
      <c r="U22" s="112"/>
      <c r="V22" s="122">
        <v>1</v>
      </c>
      <c r="W22" s="86">
        <v>1</v>
      </c>
      <c r="X22" s="87">
        <v>0</v>
      </c>
      <c r="Y22" s="87">
        <v>0</v>
      </c>
      <c r="Z22" s="87">
        <v>0</v>
      </c>
      <c r="AA22" s="88">
        <v>0</v>
      </c>
      <c r="AB22" s="87"/>
      <c r="AC22" s="87"/>
      <c r="AD22" s="88"/>
      <c r="AE22" s="86"/>
      <c r="AF22" s="87"/>
      <c r="AG22" s="87">
        <v>1</v>
      </c>
      <c r="AH22" s="87">
        <v>1</v>
      </c>
      <c r="AI22" s="87"/>
      <c r="AJ22" s="87">
        <v>1</v>
      </c>
      <c r="AK22" s="88"/>
      <c r="AM22" s="100" t="s">
        <v>86</v>
      </c>
      <c r="AN22" s="35"/>
      <c r="AO22" s="63">
        <v>1</v>
      </c>
      <c r="AP22" s="64">
        <v>1</v>
      </c>
      <c r="AQ22" s="36"/>
      <c r="AR22" s="35"/>
      <c r="AS22" s="37"/>
      <c r="AT22" s="37"/>
      <c r="AU22" s="36"/>
      <c r="AV22" s="53"/>
      <c r="AW22" s="46"/>
      <c r="AX22" s="100" t="s">
        <v>86</v>
      </c>
      <c r="AY22" s="35"/>
      <c r="AZ22" s="37"/>
      <c r="BA22" s="37"/>
      <c r="BB22" s="36"/>
      <c r="BC22" s="35"/>
      <c r="BD22" s="37"/>
      <c r="BE22" s="37"/>
      <c r="BF22" s="36"/>
      <c r="BG22" s="53"/>
      <c r="BH22" s="46"/>
    </row>
    <row r="23" spans="2:60" ht="16.5" thickTop="1" thickBot="1" x14ac:dyDescent="0.3">
      <c r="B23" s="5">
        <v>0</v>
      </c>
      <c r="C23" s="6">
        <v>0</v>
      </c>
      <c r="D23" s="8">
        <v>0</v>
      </c>
      <c r="E23" s="5" t="s">
        <v>8</v>
      </c>
      <c r="F23" s="5" t="s">
        <v>11</v>
      </c>
      <c r="H23" s="125">
        <v>1</v>
      </c>
      <c r="I23" s="1">
        <v>0</v>
      </c>
      <c r="J23" s="1">
        <v>0</v>
      </c>
      <c r="K23" s="1">
        <v>0</v>
      </c>
      <c r="L23" s="126">
        <v>1</v>
      </c>
      <c r="M23" s="127"/>
      <c r="N23" s="139">
        <v>1</v>
      </c>
      <c r="R23" s="125">
        <v>1</v>
      </c>
      <c r="S23" s="1">
        <v>1</v>
      </c>
      <c r="T23" s="1">
        <v>1</v>
      </c>
      <c r="V23" s="1">
        <v>1</v>
      </c>
      <c r="W23" s="86">
        <v>1</v>
      </c>
      <c r="X23" s="87">
        <v>0</v>
      </c>
      <c r="Y23" s="87">
        <v>0</v>
      </c>
      <c r="Z23" s="87">
        <v>0</v>
      </c>
      <c r="AA23" s="88">
        <v>1</v>
      </c>
      <c r="AB23" s="87"/>
      <c r="AC23" s="87">
        <v>1</v>
      </c>
      <c r="AD23" s="88">
        <v>1</v>
      </c>
      <c r="AE23" s="86"/>
      <c r="AF23" s="87"/>
      <c r="AG23" s="87"/>
      <c r="AH23" s="87">
        <v>1</v>
      </c>
      <c r="AI23" s="87">
        <v>1</v>
      </c>
      <c r="AJ23" s="87">
        <v>1</v>
      </c>
      <c r="AK23" s="88"/>
      <c r="AM23" s="100"/>
      <c r="AN23" s="35"/>
      <c r="AO23" s="63">
        <v>1</v>
      </c>
      <c r="AP23" s="64">
        <v>1</v>
      </c>
      <c r="AQ23" s="36"/>
      <c r="AR23" s="35"/>
      <c r="AS23" s="37"/>
      <c r="AT23" s="37"/>
      <c r="AU23" s="36"/>
      <c r="AV23" s="98" t="s">
        <v>34</v>
      </c>
      <c r="AW23" s="46"/>
      <c r="AX23" s="100"/>
      <c r="AY23" s="35"/>
      <c r="AZ23" s="37"/>
      <c r="BA23" s="37"/>
      <c r="BB23" s="36"/>
      <c r="BC23" s="35"/>
      <c r="BD23" s="37"/>
      <c r="BE23" s="37"/>
      <c r="BF23" s="36"/>
      <c r="BG23" s="98" t="s">
        <v>34</v>
      </c>
      <c r="BH23" s="46"/>
    </row>
    <row r="24" spans="2:60" ht="15.75" thickBot="1" x14ac:dyDescent="0.3">
      <c r="B24" s="3">
        <v>0</v>
      </c>
      <c r="C24" s="7">
        <v>1</v>
      </c>
      <c r="D24" s="9">
        <v>0</v>
      </c>
      <c r="E24" s="3" t="s">
        <v>8</v>
      </c>
      <c r="F24" s="3" t="s">
        <v>11</v>
      </c>
      <c r="H24" s="125">
        <v>1</v>
      </c>
      <c r="I24" s="1">
        <v>0</v>
      </c>
      <c r="J24" s="1">
        <v>0</v>
      </c>
      <c r="K24" s="1">
        <v>1</v>
      </c>
      <c r="L24" s="126">
        <v>0</v>
      </c>
      <c r="M24" s="127"/>
      <c r="N24" s="139">
        <v>1</v>
      </c>
      <c r="R24" s="125">
        <v>1</v>
      </c>
      <c r="S24" s="1">
        <v>1</v>
      </c>
      <c r="T24" s="1">
        <v>1</v>
      </c>
      <c r="V24" s="1">
        <v>1</v>
      </c>
      <c r="W24" s="86">
        <v>1</v>
      </c>
      <c r="X24" s="87">
        <v>0</v>
      </c>
      <c r="Y24" s="87">
        <v>0</v>
      </c>
      <c r="Z24" s="87">
        <v>1</v>
      </c>
      <c r="AA24" s="88">
        <v>0</v>
      </c>
      <c r="AB24" s="87">
        <v>1</v>
      </c>
      <c r="AC24" s="87"/>
      <c r="AD24" s="88"/>
      <c r="AE24" s="86"/>
      <c r="AF24" s="87"/>
      <c r="AG24" s="87"/>
      <c r="AH24" s="87">
        <v>1</v>
      </c>
      <c r="AI24" s="87">
        <v>1</v>
      </c>
      <c r="AJ24" s="87">
        <v>1</v>
      </c>
      <c r="AK24" s="88"/>
      <c r="AM24" s="50"/>
      <c r="AN24" s="38"/>
      <c r="AO24" s="60">
        <v>1</v>
      </c>
      <c r="AP24" s="62">
        <v>1</v>
      </c>
      <c r="AQ24" s="40"/>
      <c r="AR24" s="38"/>
      <c r="AS24" s="44">
        <v>1</v>
      </c>
      <c r="AT24" s="44">
        <v>1</v>
      </c>
      <c r="AU24" s="40"/>
      <c r="AV24" s="98"/>
      <c r="AW24" s="46"/>
      <c r="AX24" s="50"/>
      <c r="AY24" s="38"/>
      <c r="AZ24" s="39"/>
      <c r="BA24" s="39"/>
      <c r="BB24" s="39"/>
      <c r="BC24" s="65">
        <v>0</v>
      </c>
      <c r="BD24" s="68">
        <v>0</v>
      </c>
      <c r="BE24" s="39"/>
      <c r="BF24" s="40"/>
      <c r="BG24" s="98"/>
      <c r="BH24" s="46"/>
    </row>
    <row r="25" spans="2:60" x14ac:dyDescent="0.25">
      <c r="B25" s="3">
        <v>1</v>
      </c>
      <c r="C25" s="7">
        <v>0</v>
      </c>
      <c r="D25" s="9">
        <v>1</v>
      </c>
      <c r="E25" s="3" t="s">
        <v>8</v>
      </c>
      <c r="F25" s="3" t="s">
        <v>11</v>
      </c>
      <c r="H25" s="125">
        <v>1</v>
      </c>
      <c r="I25" s="1">
        <v>0</v>
      </c>
      <c r="J25" s="1">
        <v>0</v>
      </c>
      <c r="K25" s="1">
        <v>1</v>
      </c>
      <c r="L25" s="126">
        <v>1</v>
      </c>
      <c r="M25" s="127"/>
      <c r="N25" s="139">
        <v>1</v>
      </c>
      <c r="R25" s="125">
        <v>1</v>
      </c>
      <c r="S25" s="1">
        <v>1</v>
      </c>
      <c r="T25" s="1">
        <v>1</v>
      </c>
      <c r="V25" s="1">
        <v>1</v>
      </c>
      <c r="W25" s="86">
        <v>1</v>
      </c>
      <c r="X25" s="87">
        <v>0</v>
      </c>
      <c r="Y25" s="87">
        <v>0</v>
      </c>
      <c r="Z25" s="87">
        <v>1</v>
      </c>
      <c r="AA25" s="88">
        <v>1</v>
      </c>
      <c r="AB25" s="87">
        <v>1</v>
      </c>
      <c r="AC25" s="87">
        <v>1</v>
      </c>
      <c r="AD25" s="88">
        <v>1</v>
      </c>
      <c r="AE25" s="86"/>
      <c r="AF25" s="87"/>
      <c r="AG25" s="87"/>
      <c r="AH25" s="87">
        <v>1</v>
      </c>
      <c r="AI25" s="87">
        <v>1</v>
      </c>
      <c r="AJ25" s="87">
        <v>1</v>
      </c>
      <c r="AK25" s="88"/>
      <c r="AM25" s="35"/>
      <c r="AN25" s="37"/>
      <c r="AO25" s="2"/>
      <c r="AP25" s="96" t="s">
        <v>36</v>
      </c>
      <c r="AQ25" s="96"/>
      <c r="AR25" s="96"/>
      <c r="AS25" s="96"/>
      <c r="AT25" s="2"/>
      <c r="AU25" s="37"/>
      <c r="AV25" s="36"/>
      <c r="AW25" s="46"/>
      <c r="AX25" s="35"/>
      <c r="AY25" s="37"/>
      <c r="AZ25" s="2"/>
      <c r="BA25" s="96" t="s">
        <v>36</v>
      </c>
      <c r="BB25" s="96"/>
      <c r="BC25" s="96"/>
      <c r="BD25" s="96"/>
      <c r="BE25" s="2"/>
      <c r="BF25" s="37"/>
      <c r="BG25" s="36"/>
      <c r="BH25" s="46"/>
    </row>
    <row r="26" spans="2:60" x14ac:dyDescent="0.25">
      <c r="B26" s="3">
        <v>1</v>
      </c>
      <c r="C26" s="7">
        <v>1</v>
      </c>
      <c r="D26" s="9">
        <v>0</v>
      </c>
      <c r="E26" s="4">
        <v>0</v>
      </c>
      <c r="F26" s="28">
        <v>1</v>
      </c>
      <c r="H26" s="125">
        <v>1</v>
      </c>
      <c r="I26" s="1">
        <v>0</v>
      </c>
      <c r="J26" s="1">
        <v>1</v>
      </c>
      <c r="K26" s="1">
        <v>0</v>
      </c>
      <c r="L26" s="126">
        <v>0</v>
      </c>
      <c r="M26" s="127"/>
      <c r="N26" s="139">
        <v>1</v>
      </c>
      <c r="Q26" s="29">
        <v>1</v>
      </c>
      <c r="R26" s="125">
        <v>1</v>
      </c>
      <c r="T26" s="1">
        <v>1</v>
      </c>
      <c r="V26" s="1">
        <v>1</v>
      </c>
      <c r="W26" s="86">
        <v>1</v>
      </c>
      <c r="X26" s="87">
        <v>0</v>
      </c>
      <c r="Y26" s="87">
        <v>1</v>
      </c>
      <c r="Z26" s="87">
        <v>0</v>
      </c>
      <c r="AA26" s="88">
        <v>0</v>
      </c>
      <c r="AB26" s="87"/>
      <c r="AC26" s="87"/>
      <c r="AD26" s="88"/>
      <c r="AE26" s="86"/>
      <c r="AF26" s="87"/>
      <c r="AG26" s="87">
        <v>1</v>
      </c>
      <c r="AH26" s="87">
        <v>1</v>
      </c>
      <c r="AI26" s="87"/>
      <c r="AJ26" s="87">
        <v>1</v>
      </c>
      <c r="AK26" s="88"/>
      <c r="AM26" s="51"/>
      <c r="AN26" s="48"/>
      <c r="AO26" s="49"/>
      <c r="AP26" s="49"/>
      <c r="AQ26" s="48"/>
      <c r="AR26" s="97" t="s">
        <v>35</v>
      </c>
      <c r="AS26" s="97"/>
      <c r="AT26" s="97"/>
      <c r="AU26" s="97"/>
      <c r="AV26" s="40"/>
      <c r="AW26" s="46"/>
      <c r="AX26" s="51"/>
      <c r="AY26" s="48"/>
      <c r="AZ26" s="49"/>
      <c r="BA26" s="49"/>
      <c r="BB26" s="48"/>
      <c r="BC26" s="97" t="s">
        <v>35</v>
      </c>
      <c r="BD26" s="97"/>
      <c r="BE26" s="97"/>
      <c r="BF26" s="97"/>
      <c r="BG26" s="40"/>
      <c r="BH26" s="46"/>
    </row>
    <row r="27" spans="2:60" x14ac:dyDescent="0.25">
      <c r="H27" s="125">
        <v>1</v>
      </c>
      <c r="I27" s="1">
        <v>0</v>
      </c>
      <c r="J27" s="1">
        <v>1</v>
      </c>
      <c r="K27" s="1">
        <v>0</v>
      </c>
      <c r="L27" s="126">
        <v>1</v>
      </c>
      <c r="M27" s="127"/>
      <c r="N27" s="139">
        <v>1</v>
      </c>
      <c r="Q27" s="29">
        <v>1</v>
      </c>
      <c r="R27" s="125">
        <v>1</v>
      </c>
      <c r="T27" s="1">
        <v>1</v>
      </c>
      <c r="V27" s="128"/>
      <c r="W27" s="86">
        <v>1</v>
      </c>
      <c r="X27" s="87">
        <v>0</v>
      </c>
      <c r="Y27" s="87">
        <v>1</v>
      </c>
      <c r="Z27" s="87">
        <v>0</v>
      </c>
      <c r="AA27" s="88">
        <v>1</v>
      </c>
      <c r="AB27" s="87"/>
      <c r="AC27" s="87">
        <v>1</v>
      </c>
      <c r="AD27" s="88"/>
      <c r="AE27" s="86"/>
      <c r="AF27" s="87"/>
      <c r="AG27" s="87">
        <v>1</v>
      </c>
      <c r="AH27" s="87">
        <v>1</v>
      </c>
      <c r="AI27" s="87"/>
      <c r="AJ27" s="87">
        <v>1</v>
      </c>
      <c r="AK27" s="88"/>
      <c r="AQ27" s="74" t="s">
        <v>25</v>
      </c>
      <c r="AW27" s="46"/>
      <c r="BB27" s="74" t="s">
        <v>30</v>
      </c>
      <c r="BH27" s="46"/>
    </row>
    <row r="28" spans="2:60" x14ac:dyDescent="0.25">
      <c r="H28" s="125">
        <v>1</v>
      </c>
      <c r="I28" s="1">
        <v>0</v>
      </c>
      <c r="J28" s="1">
        <v>1</v>
      </c>
      <c r="K28" s="1">
        <v>1</v>
      </c>
      <c r="L28" s="126">
        <v>0</v>
      </c>
      <c r="M28" s="127"/>
      <c r="N28" s="139">
        <v>1</v>
      </c>
      <c r="O28" s="29">
        <v>1</v>
      </c>
      <c r="R28" s="127"/>
      <c r="S28" s="1">
        <v>1</v>
      </c>
      <c r="T28" s="1">
        <v>1</v>
      </c>
      <c r="V28" s="1">
        <v>1</v>
      </c>
      <c r="W28" s="86">
        <v>1</v>
      </c>
      <c r="X28" s="87">
        <v>0</v>
      </c>
      <c r="Y28" s="87">
        <v>1</v>
      </c>
      <c r="Z28" s="87">
        <v>1</v>
      </c>
      <c r="AA28" s="88">
        <v>0</v>
      </c>
      <c r="AB28" s="87">
        <v>1</v>
      </c>
      <c r="AC28" s="87"/>
      <c r="AD28" s="88"/>
      <c r="AE28" s="86"/>
      <c r="AF28" s="87"/>
      <c r="AG28" s="87"/>
      <c r="AH28" s="87">
        <v>1</v>
      </c>
      <c r="AI28" s="87">
        <v>1</v>
      </c>
      <c r="AJ28" s="87">
        <v>1</v>
      </c>
      <c r="AK28" s="88"/>
      <c r="AM28" s="32"/>
      <c r="AN28" s="33"/>
      <c r="AO28" s="99" t="s">
        <v>87</v>
      </c>
      <c r="AP28" s="99"/>
      <c r="AQ28" s="55"/>
      <c r="AR28" s="33"/>
      <c r="AS28" s="99" t="s">
        <v>87</v>
      </c>
      <c r="AT28" s="99"/>
      <c r="AU28" s="54"/>
      <c r="AV28" s="34"/>
      <c r="AW28" s="46"/>
      <c r="AX28" s="32"/>
      <c r="AY28" s="33"/>
      <c r="AZ28" s="99" t="s">
        <v>87</v>
      </c>
      <c r="BA28" s="99"/>
      <c r="BB28" s="55"/>
      <c r="BC28" s="33"/>
      <c r="BD28" s="99" t="s">
        <v>87</v>
      </c>
      <c r="BE28" s="99"/>
      <c r="BF28" s="54"/>
      <c r="BG28" s="34"/>
      <c r="BH28" s="46"/>
    </row>
    <row r="29" spans="2:60" x14ac:dyDescent="0.25">
      <c r="B29" t="s">
        <v>78</v>
      </c>
      <c r="H29" s="125">
        <v>1</v>
      </c>
      <c r="I29" s="1">
        <v>0</v>
      </c>
      <c r="J29" s="1">
        <v>1</v>
      </c>
      <c r="K29" s="1">
        <v>1</v>
      </c>
      <c r="L29" s="126">
        <v>1</v>
      </c>
      <c r="M29" s="127"/>
      <c r="N29" s="139">
        <v>1</v>
      </c>
      <c r="P29" s="1">
        <v>1</v>
      </c>
      <c r="R29" s="127"/>
      <c r="S29" s="1">
        <v>1</v>
      </c>
      <c r="T29" s="1"/>
      <c r="U29" s="1">
        <v>1</v>
      </c>
      <c r="V29" s="128"/>
      <c r="W29" s="86">
        <v>1</v>
      </c>
      <c r="X29" s="87">
        <v>0</v>
      </c>
      <c r="Y29" s="87">
        <v>1</v>
      </c>
      <c r="Z29" s="87">
        <v>1</v>
      </c>
      <c r="AA29" s="88">
        <v>1</v>
      </c>
      <c r="AB29" s="87">
        <v>1</v>
      </c>
      <c r="AC29" s="87">
        <v>1</v>
      </c>
      <c r="AD29" s="88">
        <v>1</v>
      </c>
      <c r="AE29" s="86"/>
      <c r="AF29" s="87"/>
      <c r="AG29" s="87"/>
      <c r="AH29" s="87">
        <v>1</v>
      </c>
      <c r="AI29" s="87">
        <v>1</v>
      </c>
      <c r="AJ29" s="87">
        <v>1</v>
      </c>
      <c r="AK29" s="88"/>
      <c r="AM29" s="35"/>
      <c r="AN29" s="32"/>
      <c r="AO29" s="33"/>
      <c r="AP29" s="33"/>
      <c r="AQ29" s="34"/>
      <c r="AR29" s="32"/>
      <c r="AS29" s="33"/>
      <c r="AT29" s="33"/>
      <c r="AU29" s="34"/>
      <c r="AV29" s="52"/>
      <c r="AW29" s="46"/>
      <c r="AX29" s="35"/>
      <c r="AY29" s="32"/>
      <c r="AZ29" s="33"/>
      <c r="BA29" s="33"/>
      <c r="BB29" s="34"/>
      <c r="BC29" s="32"/>
      <c r="BD29" s="33"/>
      <c r="BE29" s="33"/>
      <c r="BF29" s="34"/>
      <c r="BG29" s="52"/>
      <c r="BH29" s="46"/>
    </row>
    <row r="30" spans="2:60" x14ac:dyDescent="0.25">
      <c r="H30" s="125">
        <v>1</v>
      </c>
      <c r="I30" s="1">
        <v>1</v>
      </c>
      <c r="J30" s="1">
        <v>0</v>
      </c>
      <c r="K30" s="1">
        <v>0</v>
      </c>
      <c r="L30" s="126">
        <v>0</v>
      </c>
      <c r="M30" s="130">
        <v>1</v>
      </c>
      <c r="N30" s="139">
        <v>1</v>
      </c>
      <c r="R30" s="125">
        <v>1</v>
      </c>
      <c r="S30" s="1">
        <v>1</v>
      </c>
      <c r="T30" s="1">
        <v>1</v>
      </c>
      <c r="V30" s="1">
        <v>1</v>
      </c>
      <c r="W30" s="86">
        <v>1</v>
      </c>
      <c r="X30" s="87">
        <v>1</v>
      </c>
      <c r="Y30" s="87">
        <v>0</v>
      </c>
      <c r="Z30" s="87">
        <v>0</v>
      </c>
      <c r="AA30" s="88">
        <v>0</v>
      </c>
      <c r="AB30" s="87"/>
      <c r="AC30" s="87"/>
      <c r="AD30" s="88"/>
      <c r="AE30" s="86"/>
      <c r="AF30" s="87"/>
      <c r="AG30" s="87"/>
      <c r="AH30" s="87">
        <v>1</v>
      </c>
      <c r="AI30" s="87">
        <v>1</v>
      </c>
      <c r="AJ30" s="87">
        <v>1</v>
      </c>
      <c r="AK30" s="88"/>
      <c r="AM30" s="100" t="s">
        <v>86</v>
      </c>
      <c r="AN30" s="35"/>
      <c r="AO30" s="37"/>
      <c r="AP30" s="37"/>
      <c r="AQ30" s="36"/>
      <c r="AR30" s="35"/>
      <c r="AS30" s="37"/>
      <c r="AT30" s="37"/>
      <c r="AU30" s="36"/>
      <c r="AV30" s="53"/>
      <c r="AW30" s="46"/>
      <c r="AX30" s="100" t="s">
        <v>86</v>
      </c>
      <c r="AY30" s="35"/>
      <c r="AZ30" s="37"/>
      <c r="BA30" s="37"/>
      <c r="BB30" s="36"/>
      <c r="BC30" s="35"/>
      <c r="BD30" s="37"/>
      <c r="BE30" s="37"/>
      <c r="BF30" s="36"/>
      <c r="BG30" s="53"/>
      <c r="BH30" s="46"/>
    </row>
    <row r="31" spans="2:60" ht="15.75" thickBot="1" x14ac:dyDescent="0.3">
      <c r="D31" s="30"/>
      <c r="E31" s="30"/>
      <c r="F31" s="30"/>
      <c r="H31" s="125">
        <v>1</v>
      </c>
      <c r="I31" s="1">
        <v>1</v>
      </c>
      <c r="J31" s="1">
        <v>0</v>
      </c>
      <c r="K31" s="1">
        <v>0</v>
      </c>
      <c r="L31" s="126">
        <v>1</v>
      </c>
      <c r="M31" s="130">
        <v>1</v>
      </c>
      <c r="N31" s="139">
        <v>1</v>
      </c>
      <c r="R31" s="125">
        <v>1</v>
      </c>
      <c r="S31" s="1">
        <v>1</v>
      </c>
      <c r="T31" s="1">
        <v>1</v>
      </c>
      <c r="V31" s="1">
        <v>1</v>
      </c>
      <c r="W31" s="86">
        <v>1</v>
      </c>
      <c r="X31" s="87">
        <v>1</v>
      </c>
      <c r="Y31" s="87">
        <v>0</v>
      </c>
      <c r="Z31" s="87">
        <v>0</v>
      </c>
      <c r="AA31" s="88">
        <v>1</v>
      </c>
      <c r="AB31" s="87"/>
      <c r="AC31" s="87">
        <v>1</v>
      </c>
      <c r="AD31" s="88">
        <v>1</v>
      </c>
      <c r="AE31" s="86"/>
      <c r="AF31" s="87"/>
      <c r="AG31" s="87"/>
      <c r="AH31" s="87">
        <v>1</v>
      </c>
      <c r="AI31" s="87">
        <v>1</v>
      </c>
      <c r="AJ31" s="87">
        <v>1</v>
      </c>
      <c r="AK31" s="88"/>
      <c r="AM31" s="100"/>
      <c r="AN31" s="35"/>
      <c r="AO31" s="37"/>
      <c r="AP31" s="37"/>
      <c r="AQ31" s="36"/>
      <c r="AR31" s="35"/>
      <c r="AS31" s="37"/>
      <c r="AT31" s="37"/>
      <c r="AU31" s="36"/>
      <c r="AV31" s="98" t="s">
        <v>34</v>
      </c>
      <c r="AW31" s="46"/>
      <c r="AX31" s="100"/>
      <c r="AY31" s="35"/>
      <c r="AZ31" s="37"/>
      <c r="BA31" s="37"/>
      <c r="BB31" s="36"/>
      <c r="BC31" s="35"/>
      <c r="BD31" s="37"/>
      <c r="BE31" s="37"/>
      <c r="BF31" s="36"/>
      <c r="BG31" s="98" t="s">
        <v>34</v>
      </c>
      <c r="BH31" s="46"/>
    </row>
    <row r="32" spans="2:60" ht="15.75" thickBot="1" x14ac:dyDescent="0.3">
      <c r="B32" t="s">
        <v>79</v>
      </c>
      <c r="D32" s="30"/>
      <c r="E32" s="30"/>
      <c r="F32" s="30"/>
      <c r="H32" s="125">
        <v>1</v>
      </c>
      <c r="I32" s="1">
        <v>1</v>
      </c>
      <c r="J32" s="1">
        <v>0</v>
      </c>
      <c r="K32" s="1">
        <v>1</v>
      </c>
      <c r="L32" s="126">
        <v>0</v>
      </c>
      <c r="M32" s="127"/>
      <c r="N32" s="129"/>
      <c r="R32" s="125">
        <v>1</v>
      </c>
      <c r="S32" s="1">
        <v>1</v>
      </c>
      <c r="T32" s="1">
        <v>1</v>
      </c>
      <c r="V32" s="140">
        <v>1</v>
      </c>
      <c r="W32" s="86">
        <v>1</v>
      </c>
      <c r="X32" s="87">
        <v>1</v>
      </c>
      <c r="Y32" s="87">
        <v>0</v>
      </c>
      <c r="Z32" s="87">
        <v>1</v>
      </c>
      <c r="AA32" s="88">
        <v>0</v>
      </c>
      <c r="AB32" s="87"/>
      <c r="AC32" s="87"/>
      <c r="AD32" s="88">
        <v>1</v>
      </c>
      <c r="AE32" s="86"/>
      <c r="AF32" s="87"/>
      <c r="AG32" s="87"/>
      <c r="AH32" s="87">
        <v>1</v>
      </c>
      <c r="AI32" s="87">
        <v>1</v>
      </c>
      <c r="AJ32" s="87">
        <v>1</v>
      </c>
      <c r="AK32" s="88"/>
      <c r="AM32" s="50"/>
      <c r="AN32" s="38"/>
      <c r="AO32" s="39"/>
      <c r="AP32" s="39"/>
      <c r="AQ32" s="40"/>
      <c r="AR32" s="38"/>
      <c r="AS32" s="44">
        <v>1</v>
      </c>
      <c r="AT32" s="39"/>
      <c r="AU32" s="40"/>
      <c r="AV32" s="98"/>
      <c r="AW32" s="46"/>
      <c r="AX32" s="50"/>
      <c r="AY32" s="38"/>
      <c r="AZ32" s="39"/>
      <c r="BA32" s="39"/>
      <c r="BB32" s="39"/>
      <c r="BC32" s="65">
        <v>1</v>
      </c>
      <c r="BD32" s="68">
        <v>1</v>
      </c>
      <c r="BE32" s="39"/>
      <c r="BF32" s="40"/>
      <c r="BG32" s="98"/>
      <c r="BH32" s="46"/>
    </row>
    <row r="33" spans="2:62" x14ac:dyDescent="0.25">
      <c r="D33" s="30"/>
      <c r="E33" s="1"/>
      <c r="F33" s="30"/>
      <c r="H33" s="125">
        <v>1</v>
      </c>
      <c r="I33" s="1">
        <v>1</v>
      </c>
      <c r="J33" s="1">
        <v>0</v>
      </c>
      <c r="K33" s="1">
        <v>1</v>
      </c>
      <c r="L33" s="126">
        <v>1</v>
      </c>
      <c r="M33" s="127"/>
      <c r="N33" s="129"/>
      <c r="R33" s="125">
        <v>1</v>
      </c>
      <c r="S33" s="1">
        <v>1</v>
      </c>
      <c r="T33" s="1">
        <v>1</v>
      </c>
      <c r="V33" s="140">
        <v>1</v>
      </c>
      <c r="W33" s="86">
        <v>1</v>
      </c>
      <c r="X33" s="87">
        <v>1</v>
      </c>
      <c r="Y33" s="87">
        <v>0</v>
      </c>
      <c r="Z33" s="87">
        <v>1</v>
      </c>
      <c r="AA33" s="88">
        <v>1</v>
      </c>
      <c r="AB33" s="87"/>
      <c r="AC33" s="87"/>
      <c r="AD33" s="88">
        <v>1</v>
      </c>
      <c r="AE33" s="86"/>
      <c r="AF33" s="87"/>
      <c r="AG33" s="87"/>
      <c r="AH33" s="87">
        <v>1</v>
      </c>
      <c r="AI33" s="87">
        <v>1</v>
      </c>
      <c r="AJ33" s="87">
        <v>1</v>
      </c>
      <c r="AK33" s="88"/>
      <c r="AM33" s="35"/>
      <c r="AN33" s="37"/>
      <c r="AO33" s="2"/>
      <c r="AP33" s="96" t="s">
        <v>36</v>
      </c>
      <c r="AQ33" s="96"/>
      <c r="AR33" s="96"/>
      <c r="AS33" s="96"/>
      <c r="AT33" s="2"/>
      <c r="AU33" s="37"/>
      <c r="AV33" s="36"/>
      <c r="AW33" s="46"/>
      <c r="AX33" s="35"/>
      <c r="AY33" s="37"/>
      <c r="AZ33" s="2"/>
      <c r="BA33" s="96" t="s">
        <v>36</v>
      </c>
      <c r="BB33" s="96"/>
      <c r="BC33" s="96"/>
      <c r="BD33" s="96"/>
      <c r="BE33" s="2"/>
      <c r="BF33" s="37"/>
      <c r="BG33" s="36"/>
      <c r="BH33" s="46"/>
    </row>
    <row r="34" spans="2:62" x14ac:dyDescent="0.25">
      <c r="B34" t="s">
        <v>80</v>
      </c>
      <c r="D34" s="30"/>
      <c r="E34" s="30"/>
      <c r="F34" s="30"/>
      <c r="H34" s="125">
        <v>1</v>
      </c>
      <c r="I34" s="1">
        <v>1</v>
      </c>
      <c r="J34" s="1">
        <v>1</v>
      </c>
      <c r="K34" s="1">
        <v>0</v>
      </c>
      <c r="L34" s="126">
        <v>0</v>
      </c>
      <c r="M34" s="130">
        <v>1</v>
      </c>
      <c r="N34" s="139">
        <v>1</v>
      </c>
      <c r="R34" s="125">
        <v>1</v>
      </c>
      <c r="S34" s="1">
        <v>1</v>
      </c>
      <c r="T34" s="1">
        <v>1</v>
      </c>
      <c r="V34" s="1">
        <v>1</v>
      </c>
      <c r="W34" s="86">
        <v>1</v>
      </c>
      <c r="X34" s="87">
        <v>1</v>
      </c>
      <c r="Y34" s="87">
        <v>1</v>
      </c>
      <c r="Z34" s="87">
        <v>0</v>
      </c>
      <c r="AA34" s="88">
        <v>0</v>
      </c>
      <c r="AB34" s="87"/>
      <c r="AC34" s="87"/>
      <c r="AD34" s="88"/>
      <c r="AE34" s="86"/>
      <c r="AF34" s="87"/>
      <c r="AG34" s="87"/>
      <c r="AH34" s="87"/>
      <c r="AI34" s="87">
        <v>1</v>
      </c>
      <c r="AJ34" s="87"/>
      <c r="AK34" s="88">
        <v>1</v>
      </c>
      <c r="AM34" s="51"/>
      <c r="AN34" s="48"/>
      <c r="AO34" s="49"/>
      <c r="AP34" s="49"/>
      <c r="AQ34" s="48"/>
      <c r="AR34" s="97" t="s">
        <v>35</v>
      </c>
      <c r="AS34" s="97"/>
      <c r="AT34" s="97"/>
      <c r="AU34" s="97"/>
      <c r="AV34" s="40"/>
      <c r="AW34" s="46"/>
      <c r="AX34" s="51"/>
      <c r="AY34" s="48"/>
      <c r="AZ34" s="49"/>
      <c r="BA34" s="49"/>
      <c r="BB34" s="48"/>
      <c r="BC34" s="97" t="s">
        <v>35</v>
      </c>
      <c r="BD34" s="97"/>
      <c r="BE34" s="97"/>
      <c r="BF34" s="97"/>
      <c r="BG34" s="40"/>
      <c r="BH34" s="46"/>
    </row>
    <row r="35" spans="2:62" ht="15.75" thickBot="1" x14ac:dyDescent="0.3">
      <c r="H35" s="125">
        <v>1</v>
      </c>
      <c r="I35" s="1">
        <v>1</v>
      </c>
      <c r="J35" s="1">
        <v>1</v>
      </c>
      <c r="K35" s="1">
        <v>0</v>
      </c>
      <c r="L35" s="126">
        <v>1</v>
      </c>
      <c r="M35" s="130">
        <v>1</v>
      </c>
      <c r="N35" s="139">
        <v>1</v>
      </c>
      <c r="R35" s="125">
        <v>1</v>
      </c>
      <c r="S35" s="1">
        <v>1</v>
      </c>
      <c r="T35" s="1">
        <v>1</v>
      </c>
      <c r="V35" s="1">
        <v>1</v>
      </c>
      <c r="W35" s="86">
        <v>1</v>
      </c>
      <c r="X35" s="87">
        <v>1</v>
      </c>
      <c r="Y35" s="87">
        <v>1</v>
      </c>
      <c r="Z35" s="87">
        <v>0</v>
      </c>
      <c r="AA35" s="88">
        <v>1</v>
      </c>
      <c r="AB35" s="87"/>
      <c r="AC35" s="87">
        <v>1</v>
      </c>
      <c r="AD35" s="88"/>
      <c r="AE35" s="86"/>
      <c r="AF35" s="87">
        <v>1</v>
      </c>
      <c r="AG35" s="87"/>
      <c r="AH35" s="87"/>
      <c r="AI35" s="87">
        <v>1</v>
      </c>
      <c r="AJ35" s="87"/>
      <c r="AK35" s="88">
        <v>1</v>
      </c>
      <c r="AQ35" s="74" t="s">
        <v>26</v>
      </c>
      <c r="AW35" s="46"/>
      <c r="BB35" s="74" t="s">
        <v>31</v>
      </c>
      <c r="BH35" s="46"/>
    </row>
    <row r="36" spans="2:62" ht="15.75" thickBot="1" x14ac:dyDescent="0.3">
      <c r="B36" t="s">
        <v>81</v>
      </c>
      <c r="H36" s="125">
        <v>1</v>
      </c>
      <c r="I36" s="1">
        <v>1</v>
      </c>
      <c r="J36" s="1">
        <v>1</v>
      </c>
      <c r="K36" s="1">
        <v>1</v>
      </c>
      <c r="L36" s="126">
        <v>0</v>
      </c>
      <c r="M36" s="127"/>
      <c r="N36" s="129"/>
      <c r="Q36" s="29">
        <v>1</v>
      </c>
      <c r="R36" s="127"/>
      <c r="S36" s="1">
        <v>1</v>
      </c>
      <c r="T36" s="1">
        <v>1</v>
      </c>
      <c r="V36" s="140">
        <v>1</v>
      </c>
      <c r="W36" s="86">
        <v>1</v>
      </c>
      <c r="X36" s="87">
        <v>1</v>
      </c>
      <c r="Y36" s="87">
        <v>1</v>
      </c>
      <c r="Z36" s="87">
        <v>1</v>
      </c>
      <c r="AA36" s="88">
        <v>0</v>
      </c>
      <c r="AB36" s="87"/>
      <c r="AC36" s="87"/>
      <c r="AD36" s="88">
        <v>1</v>
      </c>
      <c r="AE36" s="86"/>
      <c r="AF36" s="87"/>
      <c r="AG36" s="87">
        <v>1</v>
      </c>
      <c r="AH36" s="87"/>
      <c r="AI36" s="87">
        <v>1</v>
      </c>
      <c r="AJ36" s="87">
        <v>1</v>
      </c>
      <c r="AK36" s="88"/>
      <c r="AM36" s="32"/>
      <c r="AN36" s="33"/>
      <c r="AO36" s="99" t="s">
        <v>87</v>
      </c>
      <c r="AP36" s="99"/>
      <c r="AQ36" s="55"/>
      <c r="AR36" s="33"/>
      <c r="AS36" s="99" t="s">
        <v>87</v>
      </c>
      <c r="AT36" s="99"/>
      <c r="AU36" s="54"/>
      <c r="AV36" s="34"/>
      <c r="AW36" s="46"/>
      <c r="AX36" s="32"/>
      <c r="AY36" s="33"/>
      <c r="AZ36" s="99" t="s">
        <v>87</v>
      </c>
      <c r="BA36" s="99"/>
      <c r="BB36" s="55"/>
      <c r="BC36" s="33"/>
      <c r="BD36" s="99" t="s">
        <v>87</v>
      </c>
      <c r="BE36" s="99"/>
      <c r="BF36" s="72"/>
      <c r="BG36" s="34"/>
      <c r="BH36" s="46"/>
    </row>
    <row r="37" spans="2:62" ht="15.75" thickBot="1" x14ac:dyDescent="0.3">
      <c r="H37" s="141">
        <v>1</v>
      </c>
      <c r="I37" s="133">
        <v>1</v>
      </c>
      <c r="J37" s="133">
        <v>1</v>
      </c>
      <c r="K37" s="133">
        <v>1</v>
      </c>
      <c r="L37" s="134">
        <v>1</v>
      </c>
      <c r="M37" s="135"/>
      <c r="N37" s="138"/>
      <c r="O37" s="137"/>
      <c r="P37" s="137"/>
      <c r="Q37" s="137">
        <v>1</v>
      </c>
      <c r="R37" s="135"/>
      <c r="S37" s="137">
        <v>1</v>
      </c>
      <c r="T37" s="137">
        <v>1</v>
      </c>
      <c r="U37" s="137"/>
      <c r="V37" s="142">
        <v>1</v>
      </c>
      <c r="W37" s="86">
        <v>1</v>
      </c>
      <c r="X37" s="87">
        <v>1</v>
      </c>
      <c r="Y37" s="87">
        <v>1</v>
      </c>
      <c r="Z37" s="87">
        <v>1</v>
      </c>
      <c r="AA37" s="91">
        <v>1</v>
      </c>
      <c r="AB37" s="87"/>
      <c r="AC37" s="87"/>
      <c r="AD37" s="88">
        <v>1</v>
      </c>
      <c r="AE37" s="107"/>
      <c r="AF37" s="108"/>
      <c r="AG37" s="108">
        <v>1</v>
      </c>
      <c r="AH37" s="108"/>
      <c r="AI37" s="108">
        <v>1</v>
      </c>
      <c r="AJ37" s="108">
        <v>1</v>
      </c>
      <c r="AK37" s="109"/>
      <c r="AM37" s="35"/>
      <c r="AN37" s="32"/>
      <c r="AO37" s="33"/>
      <c r="AP37" s="43">
        <v>1</v>
      </c>
      <c r="AQ37" s="41">
        <v>1</v>
      </c>
      <c r="AR37" s="32"/>
      <c r="AS37" s="33"/>
      <c r="AT37" s="33"/>
      <c r="AU37" s="34"/>
      <c r="AV37" s="52"/>
      <c r="AW37" s="46"/>
      <c r="AX37" s="35"/>
      <c r="AY37" s="69">
        <v>0</v>
      </c>
      <c r="AZ37" s="33">
        <v>1</v>
      </c>
      <c r="BA37" s="33">
        <v>1</v>
      </c>
      <c r="BB37" s="34">
        <v>1</v>
      </c>
      <c r="BC37" s="32">
        <v>1</v>
      </c>
      <c r="BD37" s="33">
        <v>1</v>
      </c>
      <c r="BE37" s="33">
        <v>1</v>
      </c>
      <c r="BF37" s="70">
        <v>0</v>
      </c>
      <c r="BG37" s="36"/>
      <c r="BH37" s="46"/>
    </row>
    <row r="38" spans="2:62" x14ac:dyDescent="0.25">
      <c r="G38" s="95"/>
      <c r="H38" s="143"/>
      <c r="I38" s="144"/>
      <c r="J38" s="144"/>
      <c r="K38" s="144"/>
      <c r="L38" s="144"/>
      <c r="W38" s="92" t="s">
        <v>36</v>
      </c>
      <c r="X38" s="92" t="s">
        <v>35</v>
      </c>
      <c r="Y38" s="92" t="s">
        <v>34</v>
      </c>
      <c r="Z38" s="92" t="s">
        <v>33</v>
      </c>
      <c r="AA38" s="92" t="s">
        <v>32</v>
      </c>
      <c r="AB38" s="93" t="s">
        <v>100</v>
      </c>
      <c r="AC38" s="93" t="s">
        <v>101</v>
      </c>
      <c r="AD38" s="94" t="s">
        <v>23</v>
      </c>
      <c r="AE38" s="110" t="s">
        <v>30</v>
      </c>
      <c r="AF38" s="93" t="s">
        <v>29</v>
      </c>
      <c r="AG38" s="93" t="s">
        <v>28</v>
      </c>
      <c r="AH38" s="93" t="s">
        <v>27</v>
      </c>
      <c r="AI38" s="93" t="s">
        <v>26</v>
      </c>
      <c r="AJ38" s="93" t="s">
        <v>25</v>
      </c>
      <c r="AK38" s="94" t="s">
        <v>24</v>
      </c>
      <c r="AM38" s="100" t="s">
        <v>86</v>
      </c>
      <c r="AN38" s="35"/>
      <c r="AO38" s="37"/>
      <c r="AP38" s="37"/>
      <c r="AQ38" s="37"/>
      <c r="AR38" s="57">
        <v>1</v>
      </c>
      <c r="AS38" s="59">
        <v>1</v>
      </c>
      <c r="AT38" s="37"/>
      <c r="AU38" s="36"/>
      <c r="AV38" s="53"/>
      <c r="AW38" s="46"/>
      <c r="AX38" s="100" t="s">
        <v>86</v>
      </c>
      <c r="AY38" s="71">
        <v>0</v>
      </c>
      <c r="AZ38" s="37">
        <v>1</v>
      </c>
      <c r="BA38" s="37">
        <v>1</v>
      </c>
      <c r="BB38" s="69">
        <v>0</v>
      </c>
      <c r="BC38" s="37">
        <v>1</v>
      </c>
      <c r="BD38" s="37">
        <v>1</v>
      </c>
      <c r="BE38" s="37">
        <v>1</v>
      </c>
      <c r="BF38" s="36">
        <v>1</v>
      </c>
      <c r="BG38" s="53"/>
      <c r="BH38" s="46"/>
    </row>
    <row r="39" spans="2:62" ht="15.75" thickBot="1" x14ac:dyDescent="0.3">
      <c r="H39" s="89"/>
      <c r="I39" s="89"/>
      <c r="J39" s="89"/>
      <c r="K39" s="89"/>
      <c r="L39" s="89"/>
      <c r="M39" s="145">
        <f>SUM(M6:M37)</f>
        <v>8</v>
      </c>
      <c r="N39" s="146">
        <f>SUM(N6:N37)</f>
        <v>12</v>
      </c>
      <c r="O39" s="145">
        <f>SUM(V6:V37)</f>
        <v>20</v>
      </c>
      <c r="P39" s="145">
        <f>SUM(P6:P37)</f>
        <v>1</v>
      </c>
      <c r="Q39" s="145">
        <f>SUM(O6:O37)</f>
        <v>1</v>
      </c>
      <c r="R39" s="145">
        <f>SUM(Q6:Q37)</f>
        <v>9</v>
      </c>
      <c r="S39" s="145">
        <f>SUM(R6:R37)</f>
        <v>24</v>
      </c>
      <c r="T39" s="145">
        <f>SUM(S6:S37)</f>
        <v>27</v>
      </c>
      <c r="U39" s="145">
        <f>SUM(T6:T37)</f>
        <v>30</v>
      </c>
      <c r="V39" s="145">
        <f>SUM(U6:U37)</f>
        <v>2</v>
      </c>
      <c r="X39" s="89"/>
      <c r="Y39" s="89"/>
      <c r="Z39" s="89"/>
      <c r="AA39" s="89"/>
      <c r="AB39" s="145">
        <f>SUM(AB6:AB37)</f>
        <v>8</v>
      </c>
      <c r="AC39" s="145">
        <f>SUM(AC6:AC37)</f>
        <v>12</v>
      </c>
      <c r="AD39" s="145">
        <f>SUM(AD6:AD37)</f>
        <v>20</v>
      </c>
      <c r="AE39" s="145">
        <f>SUM(AE6:AE37)</f>
        <v>1</v>
      </c>
      <c r="AF39" s="145">
        <f>SUM(AF6:AF37)</f>
        <v>1</v>
      </c>
      <c r="AG39" s="145">
        <f>SUM(AG6:AG37)</f>
        <v>9</v>
      </c>
      <c r="AH39" s="145">
        <f>SUM(AH6:AH37)</f>
        <v>24</v>
      </c>
      <c r="AI39" s="145">
        <f>SUM(AI6:AI37)</f>
        <v>27</v>
      </c>
      <c r="AJ39" s="145">
        <f>SUM(AJ6:AJ37)</f>
        <v>30</v>
      </c>
      <c r="AK39" s="146">
        <f>SUM(AK6:AK37)</f>
        <v>2</v>
      </c>
      <c r="AM39" s="100"/>
      <c r="AN39" s="35"/>
      <c r="AO39" s="37"/>
      <c r="AP39" s="37"/>
      <c r="AQ39" s="37"/>
      <c r="AR39" s="60">
        <v>1</v>
      </c>
      <c r="AS39" s="62">
        <v>1</v>
      </c>
      <c r="AT39" s="37"/>
      <c r="AU39" s="36"/>
      <c r="AV39" s="98" t="s">
        <v>34</v>
      </c>
      <c r="AW39" s="46"/>
      <c r="AX39" s="100"/>
      <c r="AY39" s="71">
        <v>0</v>
      </c>
      <c r="AZ39" s="37">
        <v>1</v>
      </c>
      <c r="BA39" s="37">
        <v>1</v>
      </c>
      <c r="BB39" s="70">
        <v>0</v>
      </c>
      <c r="BC39" s="37">
        <v>1</v>
      </c>
      <c r="BD39" s="37">
        <v>1</v>
      </c>
      <c r="BE39" s="37">
        <v>1</v>
      </c>
      <c r="BF39" s="36">
        <v>1</v>
      </c>
      <c r="BG39" s="98" t="s">
        <v>34</v>
      </c>
      <c r="BH39" s="46"/>
    </row>
    <row r="40" spans="2:62" ht="15.75" thickBot="1" x14ac:dyDescent="0.3"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AM40" s="50"/>
      <c r="AN40" s="56">
        <v>1</v>
      </c>
      <c r="AO40" s="39"/>
      <c r="AP40" s="44">
        <v>1</v>
      </c>
      <c r="AQ40" s="42">
        <v>1</v>
      </c>
      <c r="AR40" s="38"/>
      <c r="AS40" s="39"/>
      <c r="AT40" s="39"/>
      <c r="AU40" s="40"/>
      <c r="AV40" s="98"/>
      <c r="AW40" s="46"/>
      <c r="AX40" s="50"/>
      <c r="AY40" s="70">
        <v>0</v>
      </c>
      <c r="AZ40" s="39">
        <v>1</v>
      </c>
      <c r="BA40" s="65">
        <v>0</v>
      </c>
      <c r="BB40" s="66">
        <v>0</v>
      </c>
      <c r="BC40" s="67">
        <v>0</v>
      </c>
      <c r="BD40" s="68">
        <v>0</v>
      </c>
      <c r="BE40" s="39">
        <v>1</v>
      </c>
      <c r="BF40" s="69">
        <v>0</v>
      </c>
      <c r="BG40" s="101"/>
      <c r="BH40" s="46"/>
    </row>
    <row r="41" spans="2:62" ht="15.75" thickBot="1" x14ac:dyDescent="0.3">
      <c r="G41" s="26"/>
      <c r="I41" s="89" t="s">
        <v>118</v>
      </c>
      <c r="J41" s="27" t="s">
        <v>117</v>
      </c>
      <c r="K41" s="27" t="s">
        <v>116</v>
      </c>
      <c r="L41" s="27" t="s">
        <v>115</v>
      </c>
      <c r="M41" s="27" t="s">
        <v>114</v>
      </c>
      <c r="O41" s="90"/>
      <c r="P41" s="90"/>
      <c r="Q41" s="90"/>
      <c r="R41" s="90"/>
      <c r="S41" s="90"/>
      <c r="T41" s="90"/>
      <c r="U41" s="90"/>
      <c r="V41" s="90"/>
      <c r="AM41" s="35"/>
      <c r="AN41" s="37"/>
      <c r="AO41" s="2"/>
      <c r="AP41" s="96" t="s">
        <v>36</v>
      </c>
      <c r="AQ41" s="96"/>
      <c r="AR41" s="96"/>
      <c r="AS41" s="96"/>
      <c r="AT41" s="2"/>
      <c r="AU41" s="37"/>
      <c r="AV41" s="36"/>
      <c r="AW41" s="46"/>
      <c r="AX41" s="35"/>
      <c r="AY41" s="37"/>
      <c r="AZ41" s="2"/>
      <c r="BA41" s="96" t="s">
        <v>36</v>
      </c>
      <c r="BB41" s="96"/>
      <c r="BC41" s="96"/>
      <c r="BD41" s="96"/>
      <c r="BE41" s="2"/>
      <c r="BF41" s="73"/>
      <c r="BG41" s="36"/>
      <c r="BH41" s="46"/>
    </row>
    <row r="42" spans="2:62" x14ac:dyDescent="0.25">
      <c r="E42" s="147" t="s">
        <v>77</v>
      </c>
      <c r="F42" s="147" t="s">
        <v>37</v>
      </c>
      <c r="G42" s="148">
        <v>10000</v>
      </c>
      <c r="I42" s="90" t="str">
        <f>MID($G42,5,1)</f>
        <v>0</v>
      </c>
      <c r="J42" s="90" t="str">
        <f>MID($G42,4,1)</f>
        <v>0</v>
      </c>
      <c r="K42" s="90" t="str">
        <f>MID($G42,3,1)</f>
        <v>0</v>
      </c>
      <c r="L42" s="90" t="str">
        <f>MID($G42,2,1)</f>
        <v>0</v>
      </c>
      <c r="M42" s="90" t="str">
        <f>MID($G42,1,1)</f>
        <v>1</v>
      </c>
      <c r="AM42" s="51"/>
      <c r="AN42" s="48"/>
      <c r="AO42" s="49"/>
      <c r="AP42" s="49"/>
      <c r="AQ42" s="48"/>
      <c r="AR42" s="97" t="s">
        <v>35</v>
      </c>
      <c r="AS42" s="97"/>
      <c r="AT42" s="97"/>
      <c r="AU42" s="97"/>
      <c r="AV42" s="40"/>
      <c r="AW42" s="46"/>
      <c r="AX42" s="51"/>
      <c r="AY42" s="48"/>
      <c r="AZ42" s="49"/>
      <c r="BA42" s="49"/>
      <c r="BB42" s="48"/>
      <c r="BC42" s="97" t="s">
        <v>35</v>
      </c>
      <c r="BD42" s="97"/>
      <c r="BE42" s="97"/>
      <c r="BF42" s="97"/>
      <c r="BG42" s="40"/>
      <c r="BH42" s="46"/>
    </row>
    <row r="43" spans="2:62" ht="15.75" thickBot="1" x14ac:dyDescent="0.3">
      <c r="E43" s="147" t="s">
        <v>77</v>
      </c>
      <c r="F43" s="147" t="s">
        <v>38</v>
      </c>
      <c r="G43" s="148">
        <v>11000</v>
      </c>
      <c r="I43" s="90" t="str">
        <f>MID($G43,5,1)</f>
        <v>0</v>
      </c>
      <c r="J43" s="90" t="str">
        <f>MID($G43,4,1)</f>
        <v>0</v>
      </c>
      <c r="K43" s="90" t="str">
        <f>MID($G43,3,1)</f>
        <v>0</v>
      </c>
      <c r="L43" s="90" t="str">
        <f>MID($G43,2,1)</f>
        <v>1</v>
      </c>
      <c r="M43" s="90" t="str">
        <f>MID($G43,1,1)</f>
        <v>1</v>
      </c>
      <c r="AW43" s="47"/>
      <c r="BH43" s="47"/>
    </row>
    <row r="44" spans="2:62" x14ac:dyDescent="0.25">
      <c r="E44" s="147" t="s">
        <v>77</v>
      </c>
      <c r="F44" s="147" t="s">
        <v>39</v>
      </c>
      <c r="G44" s="148" t="s">
        <v>70</v>
      </c>
      <c r="I44" s="90" t="str">
        <f>MID($G44,5,1)</f>
        <v>0</v>
      </c>
      <c r="J44" s="90" t="str">
        <f>MID($G44,4,1)</f>
        <v>0</v>
      </c>
      <c r="K44" s="90" t="str">
        <f>MID($G44,3,1)</f>
        <v>1</v>
      </c>
      <c r="L44" s="90" t="str">
        <f>MID($G44,2,1)</f>
        <v>0</v>
      </c>
      <c r="M44" s="90" t="str">
        <f>MID($G44,1,1)</f>
        <v>0</v>
      </c>
      <c r="AD44" s="87"/>
    </row>
    <row r="45" spans="2:62" x14ac:dyDescent="0.25">
      <c r="E45" s="147" t="s">
        <v>57</v>
      </c>
      <c r="F45" s="147" t="s">
        <v>39</v>
      </c>
      <c r="G45" s="148" t="s">
        <v>70</v>
      </c>
      <c r="I45" s="90" t="str">
        <f>MID($G45,5,1)</f>
        <v>0</v>
      </c>
      <c r="J45" s="90" t="str">
        <f>MID($G45,4,1)</f>
        <v>0</v>
      </c>
      <c r="K45" s="90" t="str">
        <f>MID($G45,3,1)</f>
        <v>1</v>
      </c>
      <c r="L45" s="90" t="str">
        <f>MID($G45,2,1)</f>
        <v>0</v>
      </c>
      <c r="M45" s="90" t="str">
        <f>MID($G45,1,1)</f>
        <v>0</v>
      </c>
      <c r="AD45" s="87"/>
    </row>
    <row r="46" spans="2:62" x14ac:dyDescent="0.25">
      <c r="E46" s="147" t="s">
        <v>65</v>
      </c>
      <c r="F46" s="147" t="s">
        <v>39</v>
      </c>
      <c r="G46" s="148" t="s">
        <v>70</v>
      </c>
      <c r="I46" s="90" t="str">
        <f>MID($G46,5,1)</f>
        <v>0</v>
      </c>
      <c r="J46" s="90" t="str">
        <f>MID($G46,4,1)</f>
        <v>0</v>
      </c>
      <c r="K46" s="90" t="str">
        <f>MID($G46,3,1)</f>
        <v>1</v>
      </c>
      <c r="L46" s="90" t="str">
        <f>MID($G46,2,1)</f>
        <v>0</v>
      </c>
      <c r="M46" s="90" t="str">
        <f>MID($G46,1,1)</f>
        <v>0</v>
      </c>
      <c r="AD46" s="87"/>
    </row>
    <row r="47" spans="2:62" x14ac:dyDescent="0.25">
      <c r="E47" s="147" t="s">
        <v>77</v>
      </c>
      <c r="F47" s="147" t="s">
        <v>40</v>
      </c>
      <c r="G47" s="148">
        <v>10100</v>
      </c>
      <c r="I47" s="90" t="str">
        <f>MID($G47,5,1)</f>
        <v>0</v>
      </c>
      <c r="J47" s="90" t="str">
        <f>MID($G47,4,1)</f>
        <v>0</v>
      </c>
      <c r="K47" s="90" t="str">
        <f>MID($G47,3,1)</f>
        <v>1</v>
      </c>
      <c r="L47" s="90" t="str">
        <f>MID($G47,2,1)</f>
        <v>0</v>
      </c>
      <c r="M47" s="90" t="str">
        <f>MID($G47,1,1)</f>
        <v>1</v>
      </c>
      <c r="AD47" s="87"/>
    </row>
    <row r="48" spans="2:62" x14ac:dyDescent="0.25">
      <c r="E48" s="147" t="s">
        <v>57</v>
      </c>
      <c r="F48" s="147" t="s">
        <v>40</v>
      </c>
      <c r="G48" s="148">
        <v>10100</v>
      </c>
      <c r="I48" s="90" t="str">
        <f>MID($G48,5,1)</f>
        <v>0</v>
      </c>
      <c r="J48" s="90" t="str">
        <f>MID($G48,4,1)</f>
        <v>0</v>
      </c>
      <c r="K48" s="90" t="str">
        <f>MID($G48,3,1)</f>
        <v>1</v>
      </c>
      <c r="L48" s="90" t="str">
        <f>MID($G48,2,1)</f>
        <v>0</v>
      </c>
      <c r="M48" s="90" t="str">
        <f>MID($G48,1,1)</f>
        <v>1</v>
      </c>
      <c r="O48" s="75" t="s">
        <v>8</v>
      </c>
      <c r="P48" s="75" t="s">
        <v>1</v>
      </c>
      <c r="Q48" s="75" t="s">
        <v>103</v>
      </c>
      <c r="R48" s="75" t="s">
        <v>0</v>
      </c>
      <c r="S48" s="29" t="s">
        <v>19</v>
      </c>
      <c r="T48" s="75" t="s">
        <v>8</v>
      </c>
      <c r="U48" s="75"/>
      <c r="V48" s="75"/>
      <c r="Z48" s="75" t="s">
        <v>19</v>
      </c>
      <c r="AA48" s="104" t="s">
        <v>0</v>
      </c>
      <c r="AD48" s="87"/>
      <c r="AH48" s="75" t="s">
        <v>8</v>
      </c>
      <c r="AI48" s="75" t="s">
        <v>1</v>
      </c>
      <c r="AJ48" s="75" t="s">
        <v>103</v>
      </c>
      <c r="AK48" s="75" t="s">
        <v>0</v>
      </c>
      <c r="AL48" s="29" t="s">
        <v>19</v>
      </c>
      <c r="AO48" s="31" t="s">
        <v>119</v>
      </c>
      <c r="AY48" s="37"/>
      <c r="AZ48" s="37"/>
      <c r="BA48" s="37"/>
      <c r="BB48" s="37"/>
      <c r="BC48" s="37"/>
      <c r="BD48" s="37"/>
      <c r="BE48" s="37"/>
      <c r="BF48" s="37"/>
      <c r="BG48" s="37"/>
      <c r="BH48" s="29"/>
      <c r="BI48" s="29"/>
      <c r="BJ48" s="29"/>
    </row>
    <row r="49" spans="5:70" ht="84" customHeight="1" x14ac:dyDescent="0.25">
      <c r="E49" s="147" t="s">
        <v>65</v>
      </c>
      <c r="F49" s="147" t="s">
        <v>40</v>
      </c>
      <c r="G49" s="148">
        <v>10100</v>
      </c>
      <c r="I49" s="90" t="str">
        <f>MID($G49,5,1)</f>
        <v>0</v>
      </c>
      <c r="J49" s="90" t="str">
        <f>MID($G49,4,1)</f>
        <v>0</v>
      </c>
      <c r="K49" s="90" t="str">
        <f>MID($G49,3,1)</f>
        <v>1</v>
      </c>
      <c r="L49" s="90" t="str">
        <f>MID($G49,2,1)</f>
        <v>0</v>
      </c>
      <c r="M49" s="90" t="str">
        <f>MID($G49,1,1)</f>
        <v>1</v>
      </c>
      <c r="O49" s="76">
        <v>4</v>
      </c>
      <c r="P49" s="77">
        <v>5</v>
      </c>
      <c r="Q49" s="77">
        <v>6</v>
      </c>
      <c r="R49" s="77">
        <v>7</v>
      </c>
      <c r="S49" s="77">
        <v>8</v>
      </c>
      <c r="T49" s="153">
        <v>23</v>
      </c>
      <c r="U49" s="78">
        <v>22</v>
      </c>
      <c r="V49" s="79">
        <v>21</v>
      </c>
      <c r="W49" s="79">
        <v>20</v>
      </c>
      <c r="X49" s="79">
        <v>19</v>
      </c>
      <c r="Y49" s="77">
        <v>18</v>
      </c>
      <c r="Z49" s="77">
        <v>17</v>
      </c>
      <c r="AA49" s="166">
        <v>16</v>
      </c>
      <c r="AB49" s="76">
        <v>15</v>
      </c>
      <c r="AC49" s="152">
        <v>14</v>
      </c>
      <c r="AD49" s="87"/>
      <c r="AH49" s="76">
        <v>8</v>
      </c>
      <c r="AI49" s="77">
        <v>7</v>
      </c>
      <c r="AJ49" s="77">
        <v>6</v>
      </c>
      <c r="AK49" s="77">
        <v>5</v>
      </c>
      <c r="AL49" s="77">
        <v>4</v>
      </c>
      <c r="AM49" s="152"/>
      <c r="AN49" s="153"/>
      <c r="AO49" s="77"/>
      <c r="AP49" s="77"/>
      <c r="AQ49" s="77"/>
      <c r="AR49" s="77"/>
      <c r="AS49" s="77"/>
      <c r="AT49" s="77"/>
      <c r="AU49" s="77"/>
      <c r="AV49" s="78"/>
      <c r="AY49" s="160"/>
      <c r="AZ49" s="160"/>
      <c r="BA49" s="161"/>
      <c r="BB49" s="160"/>
      <c r="BC49" s="161"/>
      <c r="BD49" s="161"/>
      <c r="BE49" s="37"/>
      <c r="BF49" s="37"/>
      <c r="BG49" s="37"/>
      <c r="BH49" s="29"/>
      <c r="BI49" s="29"/>
      <c r="BJ49" s="29"/>
    </row>
    <row r="50" spans="5:70" x14ac:dyDescent="0.25">
      <c r="E50" s="147" t="s">
        <v>77</v>
      </c>
      <c r="F50" s="147" t="s">
        <v>41</v>
      </c>
      <c r="G50" s="148">
        <v>11100</v>
      </c>
      <c r="I50" s="90" t="str">
        <f>MID($G50,5,1)</f>
        <v>0</v>
      </c>
      <c r="J50" s="90" t="str">
        <f>MID($G50,4,1)</f>
        <v>0</v>
      </c>
      <c r="K50" s="90" t="str">
        <f>MID($G50,3,1)</f>
        <v>1</v>
      </c>
      <c r="L50" s="90" t="str">
        <f>MID($G50,2,1)</f>
        <v>1</v>
      </c>
      <c r="M50" s="90" t="str">
        <f>MID($G50,1,1)</f>
        <v>1</v>
      </c>
      <c r="O50" s="81" t="s">
        <v>36</v>
      </c>
      <c r="P50" s="82" t="s">
        <v>35</v>
      </c>
      <c r="Q50" s="82" t="s">
        <v>34</v>
      </c>
      <c r="R50" s="82" t="s">
        <v>33</v>
      </c>
      <c r="S50" s="82" t="s">
        <v>32</v>
      </c>
      <c r="T50" s="155" t="s">
        <v>31</v>
      </c>
      <c r="U50" s="83" t="s">
        <v>30</v>
      </c>
      <c r="V50" s="84" t="s">
        <v>29</v>
      </c>
      <c r="W50" s="84" t="s">
        <v>28</v>
      </c>
      <c r="X50" s="84" t="s">
        <v>27</v>
      </c>
      <c r="Y50" s="82" t="s">
        <v>26</v>
      </c>
      <c r="Z50" s="82" t="s">
        <v>25</v>
      </c>
      <c r="AA50" s="167" t="s">
        <v>24</v>
      </c>
      <c r="AB50" s="81" t="s">
        <v>23</v>
      </c>
      <c r="AC50" s="154" t="s">
        <v>22</v>
      </c>
      <c r="AD50" s="87"/>
      <c r="AH50" s="81" t="s">
        <v>32</v>
      </c>
      <c r="AI50" s="82" t="s">
        <v>33</v>
      </c>
      <c r="AJ50" s="82" t="s">
        <v>34</v>
      </c>
      <c r="AK50" s="82" t="s">
        <v>35</v>
      </c>
      <c r="AL50" s="82" t="s">
        <v>36</v>
      </c>
      <c r="AM50" s="158"/>
      <c r="AN50" s="159"/>
      <c r="AO50" s="82">
        <v>8</v>
      </c>
      <c r="AP50" s="82">
        <v>7</v>
      </c>
      <c r="AQ50" s="82">
        <v>6</v>
      </c>
      <c r="AR50" s="82">
        <v>5</v>
      </c>
      <c r="AS50" s="82">
        <v>4</v>
      </c>
      <c r="AT50" s="82">
        <v>3</v>
      </c>
      <c r="AU50" s="82">
        <v>2</v>
      </c>
      <c r="AV50" s="83">
        <v>1</v>
      </c>
      <c r="AY50" s="160"/>
      <c r="AZ50" s="160"/>
      <c r="BA50" s="161"/>
      <c r="BB50" s="160"/>
      <c r="BC50" s="161"/>
      <c r="BD50" s="161"/>
      <c r="BE50" s="37"/>
      <c r="BF50" s="37"/>
      <c r="BG50" s="37"/>
      <c r="BH50" s="29"/>
      <c r="BI50" s="29"/>
      <c r="BJ50" s="29"/>
    </row>
    <row r="51" spans="5:70" ht="15" customHeight="1" x14ac:dyDescent="0.25">
      <c r="E51" s="147" t="s">
        <v>77</v>
      </c>
      <c r="F51" s="147" t="s">
        <v>42</v>
      </c>
      <c r="G51" s="148">
        <v>10010</v>
      </c>
      <c r="I51" s="90" t="str">
        <f>MID($G51,5,1)</f>
        <v>0</v>
      </c>
      <c r="J51" s="90" t="str">
        <f>MID($G51,4,1)</f>
        <v>1</v>
      </c>
      <c r="K51" s="90" t="str">
        <f>MID($G51,3,1)</f>
        <v>0</v>
      </c>
      <c r="L51" s="90" t="str">
        <f>MID($G51,2,1)</f>
        <v>0</v>
      </c>
      <c r="M51" s="90" t="str">
        <f>MID($G51,1,1)</f>
        <v>1</v>
      </c>
      <c r="O51" s="86">
        <v>0</v>
      </c>
      <c r="P51" s="87">
        <v>0</v>
      </c>
      <c r="Q51" s="87">
        <v>0</v>
      </c>
      <c r="R51" s="87">
        <v>0</v>
      </c>
      <c r="S51" s="87">
        <v>0</v>
      </c>
      <c r="T51" s="80"/>
      <c r="U51" s="80"/>
      <c r="V51" s="79">
        <v>1</v>
      </c>
      <c r="W51" s="79">
        <v>1</v>
      </c>
      <c r="X51" s="79">
        <v>1</v>
      </c>
      <c r="Y51" s="79"/>
      <c r="Z51" s="79"/>
      <c r="AA51" s="79"/>
      <c r="AB51" s="79"/>
      <c r="AC51" s="105"/>
      <c r="AD51" s="87"/>
      <c r="AH51" s="105">
        <v>0</v>
      </c>
      <c r="AI51" s="79">
        <v>0</v>
      </c>
      <c r="AJ51" s="79">
        <v>0</v>
      </c>
      <c r="AK51" s="79">
        <v>0</v>
      </c>
      <c r="AL51" s="79">
        <v>0</v>
      </c>
      <c r="AM51" s="105"/>
      <c r="AN51" s="79"/>
      <c r="AO51" s="168"/>
      <c r="AP51" s="168"/>
      <c r="AQ51" s="168"/>
      <c r="AR51" s="168">
        <v>1</v>
      </c>
      <c r="AS51" s="168">
        <v>1</v>
      </c>
      <c r="AT51" s="168">
        <v>1</v>
      </c>
      <c r="AU51" s="168"/>
      <c r="AV51" s="169"/>
      <c r="AW51" t="s">
        <v>104</v>
      </c>
      <c r="AY51" s="162"/>
      <c r="AZ51" s="162" t="str">
        <f>MID($AW51,1,1)</f>
        <v>0</v>
      </c>
      <c r="BA51" s="162" t="str">
        <f>MID($AW51,2,1)</f>
        <v>0</v>
      </c>
      <c r="BB51" s="162" t="str">
        <f>MID($AW51,3,1)</f>
        <v>0</v>
      </c>
      <c r="BC51" s="162" t="str">
        <f>MID($AW51,4,1)</f>
        <v>1</v>
      </c>
      <c r="BD51" s="162" t="str">
        <f>MID($AW51,5,1)</f>
        <v>1</v>
      </c>
      <c r="BE51" s="162" t="str">
        <f>MID($AW51,6,1)</f>
        <v>1</v>
      </c>
      <c r="BF51" s="162" t="str">
        <f>MID($AW51,7,1)</f>
        <v>0</v>
      </c>
      <c r="BG51" s="162" t="str">
        <f>MID($AW51,8,1)</f>
        <v>0</v>
      </c>
      <c r="BK51" s="163">
        <v>0</v>
      </c>
      <c r="BL51" s="163">
        <v>0</v>
      </c>
      <c r="BM51" s="163">
        <v>0</v>
      </c>
      <c r="BN51" s="163">
        <v>1</v>
      </c>
      <c r="BO51" s="163">
        <v>1</v>
      </c>
      <c r="BP51" s="163">
        <v>1</v>
      </c>
      <c r="BQ51" s="163">
        <v>0</v>
      </c>
      <c r="BR51" s="91">
        <v>0</v>
      </c>
    </row>
    <row r="52" spans="5:70" x14ac:dyDescent="0.25">
      <c r="E52" s="147" t="s">
        <v>77</v>
      </c>
      <c r="F52" s="147" t="s">
        <v>43</v>
      </c>
      <c r="G52" s="148">
        <v>11010</v>
      </c>
      <c r="I52" s="90" t="str">
        <f>MID($G52,5,1)</f>
        <v>0</v>
      </c>
      <c r="J52" s="90" t="str">
        <f>MID($G52,4,1)</f>
        <v>1</v>
      </c>
      <c r="K52" s="90" t="str">
        <f>MID($G52,3,1)</f>
        <v>0</v>
      </c>
      <c r="L52" s="90" t="str">
        <f>MID($G52,2,1)</f>
        <v>1</v>
      </c>
      <c r="M52" s="90" t="str">
        <f>MID($G52,1,1)</f>
        <v>1</v>
      </c>
      <c r="O52" s="86">
        <v>0</v>
      </c>
      <c r="P52" s="87">
        <v>0</v>
      </c>
      <c r="Q52" s="87">
        <v>0</v>
      </c>
      <c r="R52" s="87">
        <v>0</v>
      </c>
      <c r="S52" s="87">
        <v>1</v>
      </c>
      <c r="T52" s="88">
        <v>1</v>
      </c>
      <c r="U52" s="88"/>
      <c r="V52" s="87">
        <v>1</v>
      </c>
      <c r="W52" s="87">
        <v>1</v>
      </c>
      <c r="X52" s="87">
        <v>1</v>
      </c>
      <c r="Y52" s="87"/>
      <c r="Z52" s="87"/>
      <c r="AA52" s="87"/>
      <c r="AB52" s="87"/>
      <c r="AC52" s="86"/>
      <c r="AD52" s="87"/>
      <c r="AH52" s="86">
        <v>0</v>
      </c>
      <c r="AI52" s="87">
        <v>0</v>
      </c>
      <c r="AJ52" s="87">
        <v>0</v>
      </c>
      <c r="AK52" s="87">
        <v>0</v>
      </c>
      <c r="AL52" s="87">
        <v>1</v>
      </c>
      <c r="AM52" s="86"/>
      <c r="AN52" s="87"/>
      <c r="AO52" s="163"/>
      <c r="AP52" s="163"/>
      <c r="AQ52" s="163"/>
      <c r="AR52" s="163">
        <v>1</v>
      </c>
      <c r="AS52" s="163">
        <v>1</v>
      </c>
      <c r="AT52" s="163">
        <v>1</v>
      </c>
      <c r="AU52" s="163"/>
      <c r="AV52" s="91">
        <v>1</v>
      </c>
      <c r="AW52" t="s">
        <v>105</v>
      </c>
      <c r="AY52" s="162"/>
      <c r="AZ52" s="162" t="str">
        <f t="shared" ref="AZ52:AZ82" si="0">MID($AW52,1,1)</f>
        <v>0</v>
      </c>
      <c r="BA52" s="162" t="str">
        <f t="shared" ref="BA52:BA82" si="1">MID($AW52,2,1)</f>
        <v>0</v>
      </c>
      <c r="BB52" s="162" t="str">
        <f t="shared" ref="BB52:BB82" si="2">MID($AW52,3,1)</f>
        <v>0</v>
      </c>
      <c r="BC52" s="162" t="str">
        <f t="shared" ref="BC52:BC82" si="3">MID($AW52,4,1)</f>
        <v>1</v>
      </c>
      <c r="BD52" s="162" t="str">
        <f t="shared" ref="BD52:BD82" si="4">MID($AW52,5,1)</f>
        <v>1</v>
      </c>
      <c r="BE52" s="162" t="str">
        <f t="shared" ref="BE52:BE82" si="5">MID($AW52,6,1)</f>
        <v>1</v>
      </c>
      <c r="BF52" s="162" t="str">
        <f t="shared" ref="BF52:BF82" si="6">MID($AW52,7,1)</f>
        <v>0</v>
      </c>
      <c r="BG52" s="162" t="str">
        <f t="shared" ref="BG52:BG82" si="7">MID($AW52,8,1)</f>
        <v>1</v>
      </c>
      <c r="BK52" s="163">
        <v>0</v>
      </c>
      <c r="BL52" s="163">
        <v>0</v>
      </c>
      <c r="BM52" s="163">
        <v>0</v>
      </c>
      <c r="BN52" s="163">
        <v>1</v>
      </c>
      <c r="BO52" s="163">
        <v>1</v>
      </c>
      <c r="BP52" s="163">
        <v>1</v>
      </c>
      <c r="BQ52" s="163">
        <v>0</v>
      </c>
      <c r="BR52" s="91">
        <v>1</v>
      </c>
    </row>
    <row r="53" spans="5:70" ht="15" customHeight="1" x14ac:dyDescent="0.25">
      <c r="E53" s="147" t="s">
        <v>77</v>
      </c>
      <c r="F53" s="147" t="s">
        <v>44</v>
      </c>
      <c r="G53" s="148" t="s">
        <v>71</v>
      </c>
      <c r="I53" s="90" t="str">
        <f>MID($G53,5,1)</f>
        <v>0</v>
      </c>
      <c r="J53" s="90" t="str">
        <f>MID($G53,4,1)</f>
        <v>1</v>
      </c>
      <c r="K53" s="90" t="str">
        <f>MID($G53,3,1)</f>
        <v>1</v>
      </c>
      <c r="L53" s="90" t="str">
        <f>MID($G53,2,1)</f>
        <v>0</v>
      </c>
      <c r="M53" s="90" t="str">
        <f>MID($G53,1,1)</f>
        <v>0</v>
      </c>
      <c r="O53" s="86">
        <v>0</v>
      </c>
      <c r="P53" s="87">
        <v>0</v>
      </c>
      <c r="Q53" s="87">
        <v>0</v>
      </c>
      <c r="R53" s="87">
        <v>1</v>
      </c>
      <c r="S53" s="87">
        <v>0</v>
      </c>
      <c r="T53" s="88"/>
      <c r="U53" s="88"/>
      <c r="V53" s="87">
        <v>1</v>
      </c>
      <c r="W53" s="87">
        <v>1</v>
      </c>
      <c r="X53" s="87">
        <v>1</v>
      </c>
      <c r="Y53" s="87"/>
      <c r="Z53" s="87"/>
      <c r="AA53" s="87"/>
      <c r="AB53" s="87"/>
      <c r="AC53" s="86">
        <v>1</v>
      </c>
      <c r="AD53" s="87"/>
      <c r="AH53" s="86">
        <v>0</v>
      </c>
      <c r="AI53" s="87">
        <v>0</v>
      </c>
      <c r="AJ53" s="87">
        <v>0</v>
      </c>
      <c r="AK53" s="87">
        <v>1</v>
      </c>
      <c r="AL53" s="87">
        <v>0</v>
      </c>
      <c r="AM53" s="86"/>
      <c r="AN53" s="87"/>
      <c r="AO53" s="163"/>
      <c r="AP53" s="163"/>
      <c r="AQ53" s="163"/>
      <c r="AR53" s="163">
        <v>1</v>
      </c>
      <c r="AS53" s="163">
        <v>1</v>
      </c>
      <c r="AT53" s="163">
        <v>1</v>
      </c>
      <c r="AU53" s="163"/>
      <c r="AV53" s="91"/>
      <c r="AW53" t="s">
        <v>104</v>
      </c>
      <c r="AY53" s="162"/>
      <c r="AZ53" s="162" t="str">
        <f t="shared" si="0"/>
        <v>0</v>
      </c>
      <c r="BA53" s="162" t="str">
        <f t="shared" si="1"/>
        <v>0</v>
      </c>
      <c r="BB53" s="162" t="str">
        <f t="shared" si="2"/>
        <v>0</v>
      </c>
      <c r="BC53" s="162" t="str">
        <f t="shared" si="3"/>
        <v>1</v>
      </c>
      <c r="BD53" s="162" t="str">
        <f t="shared" si="4"/>
        <v>1</v>
      </c>
      <c r="BE53" s="162" t="str">
        <f t="shared" si="5"/>
        <v>1</v>
      </c>
      <c r="BF53" s="162" t="str">
        <f t="shared" si="6"/>
        <v>0</v>
      </c>
      <c r="BG53" s="162" t="str">
        <f t="shared" si="7"/>
        <v>0</v>
      </c>
      <c r="BK53" s="163">
        <v>0</v>
      </c>
      <c r="BL53" s="163">
        <v>0</v>
      </c>
      <c r="BM53" s="163">
        <v>0</v>
      </c>
      <c r="BN53" s="163">
        <v>1</v>
      </c>
      <c r="BO53" s="163">
        <v>1</v>
      </c>
      <c r="BP53" s="163">
        <v>1</v>
      </c>
      <c r="BQ53" s="163">
        <v>0</v>
      </c>
      <c r="BR53" s="91">
        <v>0</v>
      </c>
    </row>
    <row r="54" spans="5:70" x14ac:dyDescent="0.25">
      <c r="E54" s="147" t="s">
        <v>61</v>
      </c>
      <c r="F54" s="147" t="s">
        <v>44</v>
      </c>
      <c r="G54" s="148" t="s">
        <v>71</v>
      </c>
      <c r="I54" s="90" t="str">
        <f>MID($G54,5,1)</f>
        <v>0</v>
      </c>
      <c r="J54" s="90" t="str">
        <f>MID($G54,4,1)</f>
        <v>1</v>
      </c>
      <c r="K54" s="90" t="str">
        <f>MID($G54,3,1)</f>
        <v>1</v>
      </c>
      <c r="L54" s="90" t="str">
        <f>MID($G54,2,1)</f>
        <v>0</v>
      </c>
      <c r="M54" s="90" t="str">
        <f>MID($G54,1,1)</f>
        <v>0</v>
      </c>
      <c r="O54" s="86">
        <v>0</v>
      </c>
      <c r="P54" s="87">
        <v>0</v>
      </c>
      <c r="Q54" s="87">
        <v>0</v>
      </c>
      <c r="R54" s="87">
        <v>1</v>
      </c>
      <c r="S54" s="87">
        <v>1</v>
      </c>
      <c r="T54" s="88">
        <v>1</v>
      </c>
      <c r="U54" s="88"/>
      <c r="V54" s="87">
        <v>1</v>
      </c>
      <c r="W54" s="87">
        <v>1</v>
      </c>
      <c r="X54" s="87">
        <v>1</v>
      </c>
      <c r="Y54" s="87"/>
      <c r="Z54" s="87"/>
      <c r="AA54" s="87"/>
      <c r="AB54" s="87"/>
      <c r="AC54" s="86">
        <v>1</v>
      </c>
      <c r="AD54" s="87"/>
      <c r="AH54" s="86">
        <v>0</v>
      </c>
      <c r="AI54" s="87">
        <v>0</v>
      </c>
      <c r="AJ54" s="87">
        <v>0</v>
      </c>
      <c r="AK54" s="87">
        <v>1</v>
      </c>
      <c r="AL54" s="87">
        <v>1</v>
      </c>
      <c r="AM54" s="86"/>
      <c r="AN54" s="87"/>
      <c r="AO54" s="163"/>
      <c r="AP54" s="163"/>
      <c r="AQ54" s="163"/>
      <c r="AR54" s="163">
        <v>1</v>
      </c>
      <c r="AS54" s="163">
        <v>1</v>
      </c>
      <c r="AT54" s="163">
        <v>1</v>
      </c>
      <c r="AU54" s="163"/>
      <c r="AV54" s="91">
        <v>1</v>
      </c>
      <c r="AW54" t="s">
        <v>105</v>
      </c>
      <c r="AY54" s="162"/>
      <c r="AZ54" s="162" t="str">
        <f t="shared" si="0"/>
        <v>0</v>
      </c>
      <c r="BA54" s="162" t="str">
        <f t="shared" si="1"/>
        <v>0</v>
      </c>
      <c r="BB54" s="162" t="str">
        <f t="shared" si="2"/>
        <v>0</v>
      </c>
      <c r="BC54" s="162" t="str">
        <f t="shared" si="3"/>
        <v>1</v>
      </c>
      <c r="BD54" s="162" t="str">
        <f t="shared" si="4"/>
        <v>1</v>
      </c>
      <c r="BE54" s="162" t="str">
        <f t="shared" si="5"/>
        <v>1</v>
      </c>
      <c r="BF54" s="162" t="str">
        <f t="shared" si="6"/>
        <v>0</v>
      </c>
      <c r="BG54" s="162" t="str">
        <f t="shared" si="7"/>
        <v>1</v>
      </c>
      <c r="BK54" s="163">
        <v>0</v>
      </c>
      <c r="BL54" s="163">
        <v>0</v>
      </c>
      <c r="BM54" s="163">
        <v>0</v>
      </c>
      <c r="BN54" s="163">
        <v>1</v>
      </c>
      <c r="BO54" s="163">
        <v>1</v>
      </c>
      <c r="BP54" s="163">
        <v>1</v>
      </c>
      <c r="BQ54" s="163">
        <v>0</v>
      </c>
      <c r="BR54" s="91">
        <v>1</v>
      </c>
    </row>
    <row r="55" spans="5:70" ht="15" customHeight="1" x14ac:dyDescent="0.25">
      <c r="E55" s="147" t="s">
        <v>77</v>
      </c>
      <c r="F55" s="147" t="s">
        <v>45</v>
      </c>
      <c r="G55" s="148">
        <v>10110</v>
      </c>
      <c r="I55" s="90" t="str">
        <f>MID($G55,5,1)</f>
        <v>0</v>
      </c>
      <c r="J55" s="90" t="str">
        <f>MID($G55,4,1)</f>
        <v>1</v>
      </c>
      <c r="K55" s="90" t="str">
        <f>MID($G55,3,1)</f>
        <v>1</v>
      </c>
      <c r="L55" s="90" t="str">
        <f>MID($G55,2,1)</f>
        <v>0</v>
      </c>
      <c r="M55" s="90" t="str">
        <f>MID($G55,1,1)</f>
        <v>1</v>
      </c>
      <c r="O55" s="86">
        <v>0</v>
      </c>
      <c r="P55" s="87">
        <v>0</v>
      </c>
      <c r="Q55" s="87">
        <v>1</v>
      </c>
      <c r="R55" s="87">
        <v>0</v>
      </c>
      <c r="S55" s="87">
        <v>0</v>
      </c>
      <c r="T55" s="88">
        <v>1</v>
      </c>
      <c r="U55" s="88"/>
      <c r="V55" s="87">
        <v>1</v>
      </c>
      <c r="W55" s="87"/>
      <c r="X55" s="87">
        <v>1</v>
      </c>
      <c r="Y55" s="87">
        <v>1</v>
      </c>
      <c r="Z55" s="87"/>
      <c r="AA55" s="87"/>
      <c r="AB55" s="87"/>
      <c r="AC55" s="86"/>
      <c r="AD55" s="87"/>
      <c r="AH55" s="86">
        <v>0</v>
      </c>
      <c r="AI55" s="87">
        <v>0</v>
      </c>
      <c r="AJ55" s="87">
        <v>1</v>
      </c>
      <c r="AK55" s="87">
        <v>0</v>
      </c>
      <c r="AL55" s="87">
        <v>0</v>
      </c>
      <c r="AM55" s="86"/>
      <c r="AN55" s="87"/>
      <c r="AO55" s="163"/>
      <c r="AP55" s="163"/>
      <c r="AQ55" s="163">
        <v>1</v>
      </c>
      <c r="AR55" s="163">
        <v>1</v>
      </c>
      <c r="AS55" s="163"/>
      <c r="AT55" s="163">
        <v>1</v>
      </c>
      <c r="AU55" s="163"/>
      <c r="AV55" s="91">
        <v>1</v>
      </c>
      <c r="AW55" t="s">
        <v>106</v>
      </c>
      <c r="AY55" s="162"/>
      <c r="AZ55" s="162" t="str">
        <f t="shared" si="0"/>
        <v>0</v>
      </c>
      <c r="BA55" s="162" t="str">
        <f t="shared" si="1"/>
        <v>0</v>
      </c>
      <c r="BB55" s="162" t="str">
        <f t="shared" si="2"/>
        <v>1</v>
      </c>
      <c r="BC55" s="162" t="str">
        <f t="shared" si="3"/>
        <v>1</v>
      </c>
      <c r="BD55" s="162" t="str">
        <f t="shared" si="4"/>
        <v>0</v>
      </c>
      <c r="BE55" s="162" t="str">
        <f t="shared" si="5"/>
        <v>1</v>
      </c>
      <c r="BF55" s="162" t="str">
        <f t="shared" si="6"/>
        <v>0</v>
      </c>
      <c r="BG55" s="162" t="str">
        <f t="shared" si="7"/>
        <v>1</v>
      </c>
      <c r="BK55" s="163">
        <v>0</v>
      </c>
      <c r="BL55" s="163">
        <v>0</v>
      </c>
      <c r="BM55" s="163">
        <v>1</v>
      </c>
      <c r="BN55" s="163">
        <v>1</v>
      </c>
      <c r="BO55" s="163">
        <v>0</v>
      </c>
      <c r="BP55" s="163">
        <v>1</v>
      </c>
      <c r="BQ55" s="163">
        <v>0</v>
      </c>
      <c r="BR55" s="91">
        <v>1</v>
      </c>
    </row>
    <row r="56" spans="5:70" x14ac:dyDescent="0.25">
      <c r="E56" s="147" t="s">
        <v>61</v>
      </c>
      <c r="F56" s="147" t="s">
        <v>45</v>
      </c>
      <c r="G56" s="148">
        <v>10110</v>
      </c>
      <c r="I56" s="90" t="str">
        <f>MID($G56,5,1)</f>
        <v>0</v>
      </c>
      <c r="J56" s="90" t="str">
        <f>MID($G56,4,1)</f>
        <v>1</v>
      </c>
      <c r="K56" s="90" t="str">
        <f>MID($G56,3,1)</f>
        <v>1</v>
      </c>
      <c r="L56" s="90" t="str">
        <f>MID($G56,2,1)</f>
        <v>0</v>
      </c>
      <c r="M56" s="90" t="str">
        <f>MID($G56,1,1)</f>
        <v>1</v>
      </c>
      <c r="O56" s="86">
        <v>0</v>
      </c>
      <c r="P56" s="87">
        <v>0</v>
      </c>
      <c r="Q56" s="87">
        <v>1</v>
      </c>
      <c r="R56" s="87">
        <v>0</v>
      </c>
      <c r="S56" s="87">
        <v>1</v>
      </c>
      <c r="T56" s="88">
        <v>1</v>
      </c>
      <c r="U56" s="88"/>
      <c r="V56" s="87">
        <v>1</v>
      </c>
      <c r="W56" s="87"/>
      <c r="X56" s="87">
        <v>1</v>
      </c>
      <c r="Y56" s="87">
        <v>1</v>
      </c>
      <c r="Z56" s="87"/>
      <c r="AA56" s="87"/>
      <c r="AB56" s="87"/>
      <c r="AC56" s="86"/>
      <c r="AD56" s="87"/>
      <c r="AH56" s="86">
        <v>0</v>
      </c>
      <c r="AI56" s="87">
        <v>0</v>
      </c>
      <c r="AJ56" s="87">
        <v>1</v>
      </c>
      <c r="AK56" s="87">
        <v>0</v>
      </c>
      <c r="AL56" s="87">
        <v>1</v>
      </c>
      <c r="AM56" s="86"/>
      <c r="AN56" s="87"/>
      <c r="AO56" s="163"/>
      <c r="AP56" s="163"/>
      <c r="AQ56" s="163">
        <v>1</v>
      </c>
      <c r="AR56" s="163">
        <v>1</v>
      </c>
      <c r="AS56" s="163"/>
      <c r="AT56" s="163">
        <v>1</v>
      </c>
      <c r="AU56" s="163"/>
      <c r="AV56" s="91">
        <v>1</v>
      </c>
      <c r="AW56" t="s">
        <v>106</v>
      </c>
      <c r="AY56" s="162"/>
      <c r="AZ56" s="162" t="str">
        <f t="shared" si="0"/>
        <v>0</v>
      </c>
      <c r="BA56" s="162" t="str">
        <f t="shared" si="1"/>
        <v>0</v>
      </c>
      <c r="BB56" s="162" t="str">
        <f t="shared" si="2"/>
        <v>1</v>
      </c>
      <c r="BC56" s="162" t="str">
        <f t="shared" si="3"/>
        <v>1</v>
      </c>
      <c r="BD56" s="162" t="str">
        <f t="shared" si="4"/>
        <v>0</v>
      </c>
      <c r="BE56" s="162" t="str">
        <f t="shared" si="5"/>
        <v>1</v>
      </c>
      <c r="BF56" s="162" t="str">
        <f t="shared" si="6"/>
        <v>0</v>
      </c>
      <c r="BG56" s="162" t="str">
        <f t="shared" si="7"/>
        <v>1</v>
      </c>
      <c r="BK56" s="163">
        <v>0</v>
      </c>
      <c r="BL56" s="163">
        <v>0</v>
      </c>
      <c r="BM56" s="163">
        <v>1</v>
      </c>
      <c r="BN56" s="163">
        <v>1</v>
      </c>
      <c r="BO56" s="163">
        <v>0</v>
      </c>
      <c r="BP56" s="163">
        <v>1</v>
      </c>
      <c r="BQ56" s="163">
        <v>0</v>
      </c>
      <c r="BR56" s="91">
        <v>1</v>
      </c>
    </row>
    <row r="57" spans="5:70" ht="15" customHeight="1" x14ac:dyDescent="0.25">
      <c r="E57" s="147" t="s">
        <v>68</v>
      </c>
      <c r="F57" s="147" t="s">
        <v>69</v>
      </c>
      <c r="G57" s="148">
        <v>10110</v>
      </c>
      <c r="I57" s="90" t="str">
        <f>MID($G57,5,1)</f>
        <v>0</v>
      </c>
      <c r="J57" s="90" t="str">
        <f>MID($G57,4,1)</f>
        <v>1</v>
      </c>
      <c r="K57" s="90" t="str">
        <f>MID($G57,3,1)</f>
        <v>1</v>
      </c>
      <c r="L57" s="90" t="str">
        <f>MID($G57,2,1)</f>
        <v>0</v>
      </c>
      <c r="M57" s="90" t="str">
        <f>MID($G57,1,1)</f>
        <v>1</v>
      </c>
      <c r="O57" s="86">
        <v>0</v>
      </c>
      <c r="P57" s="87">
        <v>0</v>
      </c>
      <c r="Q57" s="87">
        <v>1</v>
      </c>
      <c r="R57" s="87">
        <v>1</v>
      </c>
      <c r="S57" s="87">
        <v>0</v>
      </c>
      <c r="T57" s="88"/>
      <c r="U57" s="88"/>
      <c r="V57" s="87">
        <v>1</v>
      </c>
      <c r="W57" s="87">
        <v>1</v>
      </c>
      <c r="X57" s="87">
        <v>1</v>
      </c>
      <c r="Y57" s="87"/>
      <c r="Z57" s="87"/>
      <c r="AA57" s="87"/>
      <c r="AB57" s="87"/>
      <c r="AC57" s="86">
        <v>1</v>
      </c>
      <c r="AD57" s="87"/>
      <c r="AH57" s="86">
        <v>0</v>
      </c>
      <c r="AI57" s="87">
        <v>0</v>
      </c>
      <c r="AJ57" s="87">
        <v>1</v>
      </c>
      <c r="AK57" s="87">
        <v>1</v>
      </c>
      <c r="AL57" s="87">
        <v>0</v>
      </c>
      <c r="AM57" s="86"/>
      <c r="AN57" s="87"/>
      <c r="AO57" s="163"/>
      <c r="AP57" s="163"/>
      <c r="AQ57" s="163"/>
      <c r="AR57" s="163">
        <v>1</v>
      </c>
      <c r="AS57" s="163">
        <v>1</v>
      </c>
      <c r="AT57" s="163">
        <v>1</v>
      </c>
      <c r="AU57" s="163"/>
      <c r="AV57" s="91"/>
      <c r="AW57" t="s">
        <v>104</v>
      </c>
      <c r="AY57" s="162"/>
      <c r="AZ57" s="162" t="str">
        <f t="shared" si="0"/>
        <v>0</v>
      </c>
      <c r="BA57" s="162" t="str">
        <f t="shared" si="1"/>
        <v>0</v>
      </c>
      <c r="BB57" s="162" t="str">
        <f t="shared" si="2"/>
        <v>0</v>
      </c>
      <c r="BC57" s="162" t="str">
        <f t="shared" si="3"/>
        <v>1</v>
      </c>
      <c r="BD57" s="162" t="str">
        <f t="shared" si="4"/>
        <v>1</v>
      </c>
      <c r="BE57" s="162" t="str">
        <f t="shared" si="5"/>
        <v>1</v>
      </c>
      <c r="BF57" s="162" t="str">
        <f t="shared" si="6"/>
        <v>0</v>
      </c>
      <c r="BG57" s="162" t="str">
        <f t="shared" si="7"/>
        <v>0</v>
      </c>
      <c r="BK57" s="163">
        <v>0</v>
      </c>
      <c r="BL57" s="163">
        <v>0</v>
      </c>
      <c r="BM57" s="163">
        <v>0</v>
      </c>
      <c r="BN57" s="163">
        <v>1</v>
      </c>
      <c r="BO57" s="163">
        <v>1</v>
      </c>
      <c r="BP57" s="163">
        <v>1</v>
      </c>
      <c r="BQ57" s="163">
        <v>0</v>
      </c>
      <c r="BR57" s="91">
        <v>0</v>
      </c>
    </row>
    <row r="58" spans="5:70" x14ac:dyDescent="0.25">
      <c r="E58" s="147" t="s">
        <v>61</v>
      </c>
      <c r="F58" s="147" t="s">
        <v>62</v>
      </c>
      <c r="G58" s="148" t="s">
        <v>75</v>
      </c>
      <c r="I58" s="90" t="str">
        <f>MID($G58,5,1)</f>
        <v>0</v>
      </c>
      <c r="J58" s="90" t="str">
        <f>MID($G58,4,1)</f>
        <v>1</v>
      </c>
      <c r="K58" s="90" t="str">
        <f>MID($G58,3,1)</f>
        <v>1</v>
      </c>
      <c r="L58" s="90" t="str">
        <f>MID($G58,2,1)</f>
        <v>1</v>
      </c>
      <c r="M58" s="90" t="str">
        <f>MID($G58,1,1)</f>
        <v>0</v>
      </c>
      <c r="O58" s="86">
        <v>0</v>
      </c>
      <c r="P58" s="87">
        <v>0</v>
      </c>
      <c r="Q58" s="87">
        <v>1</v>
      </c>
      <c r="R58" s="87">
        <v>1</v>
      </c>
      <c r="S58" s="87">
        <v>1</v>
      </c>
      <c r="T58" s="88">
        <v>1</v>
      </c>
      <c r="U58" s="88"/>
      <c r="V58" s="87">
        <v>1</v>
      </c>
      <c r="W58" s="87">
        <v>1</v>
      </c>
      <c r="X58" s="87">
        <v>1</v>
      </c>
      <c r="Y58" s="87"/>
      <c r="Z58" s="87"/>
      <c r="AA58" s="87"/>
      <c r="AB58" s="87"/>
      <c r="AC58" s="86">
        <v>1</v>
      </c>
      <c r="AD58" s="87"/>
      <c r="AH58" s="86">
        <v>0</v>
      </c>
      <c r="AI58" s="87">
        <v>0</v>
      </c>
      <c r="AJ58" s="87">
        <v>1</v>
      </c>
      <c r="AK58" s="87">
        <v>1</v>
      </c>
      <c r="AL58" s="87">
        <v>1</v>
      </c>
      <c r="AM58" s="86"/>
      <c r="AN58" s="87"/>
      <c r="AO58" s="163"/>
      <c r="AP58" s="163"/>
      <c r="AQ58" s="163"/>
      <c r="AR58" s="163">
        <v>1</v>
      </c>
      <c r="AS58" s="163">
        <v>1</v>
      </c>
      <c r="AT58" s="163">
        <v>1</v>
      </c>
      <c r="AU58" s="163"/>
      <c r="AV58" s="91">
        <v>1</v>
      </c>
      <c r="AW58" t="s">
        <v>105</v>
      </c>
      <c r="AY58" s="162"/>
      <c r="AZ58" s="162" t="str">
        <f t="shared" si="0"/>
        <v>0</v>
      </c>
      <c r="BA58" s="162" t="str">
        <f t="shared" si="1"/>
        <v>0</v>
      </c>
      <c r="BB58" s="162" t="str">
        <f t="shared" si="2"/>
        <v>0</v>
      </c>
      <c r="BC58" s="162" t="str">
        <f t="shared" si="3"/>
        <v>1</v>
      </c>
      <c r="BD58" s="162" t="str">
        <f t="shared" si="4"/>
        <v>1</v>
      </c>
      <c r="BE58" s="162" t="str">
        <f t="shared" si="5"/>
        <v>1</v>
      </c>
      <c r="BF58" s="162" t="str">
        <f t="shared" si="6"/>
        <v>0</v>
      </c>
      <c r="BG58" s="162" t="str">
        <f t="shared" si="7"/>
        <v>1</v>
      </c>
      <c r="BK58" s="163">
        <v>0</v>
      </c>
      <c r="BL58" s="163">
        <v>0</v>
      </c>
      <c r="BM58" s="163">
        <v>0</v>
      </c>
      <c r="BN58" s="163">
        <v>1</v>
      </c>
      <c r="BO58" s="163">
        <v>1</v>
      </c>
      <c r="BP58" s="163">
        <v>1</v>
      </c>
      <c r="BQ58" s="163">
        <v>0</v>
      </c>
      <c r="BR58" s="91">
        <v>1</v>
      </c>
    </row>
    <row r="59" spans="5:70" ht="15" customHeight="1" x14ac:dyDescent="0.25">
      <c r="E59" s="147" t="s">
        <v>65</v>
      </c>
      <c r="F59" s="147" t="s">
        <v>62</v>
      </c>
      <c r="G59" s="148" t="s">
        <v>75</v>
      </c>
      <c r="I59" s="90" t="str">
        <f>MID($G59,5,1)</f>
        <v>0</v>
      </c>
      <c r="J59" s="90" t="str">
        <f>MID($G59,4,1)</f>
        <v>1</v>
      </c>
      <c r="K59" s="90" t="str">
        <f>MID($G59,3,1)</f>
        <v>1</v>
      </c>
      <c r="L59" s="90" t="str">
        <f>MID($G59,2,1)</f>
        <v>1</v>
      </c>
      <c r="M59" s="90" t="str">
        <f>MID($G59,1,1)</f>
        <v>0</v>
      </c>
      <c r="O59" s="86">
        <v>0</v>
      </c>
      <c r="P59" s="173">
        <v>1</v>
      </c>
      <c r="Q59" s="87">
        <v>0</v>
      </c>
      <c r="R59" s="87">
        <v>0</v>
      </c>
      <c r="S59" s="87">
        <v>0</v>
      </c>
      <c r="T59" s="88"/>
      <c r="U59" s="88"/>
      <c r="V59" s="87">
        <v>1</v>
      </c>
      <c r="W59" s="87">
        <v>1</v>
      </c>
      <c r="X59" s="87">
        <v>1</v>
      </c>
      <c r="Y59" s="87"/>
      <c r="Z59" s="87"/>
      <c r="AA59" s="87"/>
      <c r="AB59" s="87"/>
      <c r="AC59" s="86"/>
      <c r="AD59" s="87"/>
      <c r="AH59" s="86">
        <v>0</v>
      </c>
      <c r="AI59" s="87">
        <v>1</v>
      </c>
      <c r="AJ59" s="87">
        <v>0</v>
      </c>
      <c r="AK59" s="87">
        <v>0</v>
      </c>
      <c r="AL59" s="87">
        <v>0</v>
      </c>
      <c r="AM59" s="86"/>
      <c r="AN59" s="87"/>
      <c r="AO59" s="163"/>
      <c r="AP59" s="163"/>
      <c r="AQ59" s="163"/>
      <c r="AR59" s="163">
        <v>1</v>
      </c>
      <c r="AS59" s="163">
        <v>1</v>
      </c>
      <c r="AT59" s="163">
        <v>1</v>
      </c>
      <c r="AU59" s="163"/>
      <c r="AV59" s="91"/>
      <c r="AW59" t="s">
        <v>104</v>
      </c>
      <c r="AY59" s="162"/>
      <c r="AZ59" s="162" t="str">
        <f t="shared" si="0"/>
        <v>0</v>
      </c>
      <c r="BA59" s="162" t="str">
        <f t="shared" si="1"/>
        <v>0</v>
      </c>
      <c r="BB59" s="162" t="str">
        <f t="shared" si="2"/>
        <v>0</v>
      </c>
      <c r="BC59" s="162" t="str">
        <f t="shared" si="3"/>
        <v>1</v>
      </c>
      <c r="BD59" s="162" t="str">
        <f t="shared" si="4"/>
        <v>1</v>
      </c>
      <c r="BE59" s="162" t="str">
        <f t="shared" si="5"/>
        <v>1</v>
      </c>
      <c r="BF59" s="162" t="str">
        <f t="shared" si="6"/>
        <v>0</v>
      </c>
      <c r="BG59" s="162" t="str">
        <f t="shared" si="7"/>
        <v>0</v>
      </c>
      <c r="BK59" s="163">
        <v>0</v>
      </c>
      <c r="BL59" s="163">
        <v>0</v>
      </c>
      <c r="BM59" s="163">
        <v>0</v>
      </c>
      <c r="BN59" s="163">
        <v>1</v>
      </c>
      <c r="BO59" s="163">
        <v>1</v>
      </c>
      <c r="BP59" s="163">
        <v>1</v>
      </c>
      <c r="BQ59" s="163">
        <v>0</v>
      </c>
      <c r="BR59" s="91">
        <v>0</v>
      </c>
    </row>
    <row r="60" spans="5:70" x14ac:dyDescent="0.25">
      <c r="E60" s="147" t="s">
        <v>77</v>
      </c>
      <c r="F60" s="147" t="s">
        <v>46</v>
      </c>
      <c r="G60" s="148">
        <v>11110</v>
      </c>
      <c r="I60" s="90" t="str">
        <f>MID($G60,5,1)</f>
        <v>0</v>
      </c>
      <c r="J60" s="90" t="str">
        <f>MID($G60,4,1)</f>
        <v>1</v>
      </c>
      <c r="K60" s="90" t="str">
        <f>MID($G60,3,1)</f>
        <v>1</v>
      </c>
      <c r="L60" s="90" t="str">
        <f>MID($G60,2,1)</f>
        <v>1</v>
      </c>
      <c r="M60" s="90" t="str">
        <f>MID($G60,1,1)</f>
        <v>1</v>
      </c>
      <c r="O60" s="86">
        <v>0</v>
      </c>
      <c r="P60" s="173">
        <v>1</v>
      </c>
      <c r="Q60" s="87">
        <v>0</v>
      </c>
      <c r="R60" s="87">
        <v>0</v>
      </c>
      <c r="S60" s="87">
        <v>1</v>
      </c>
      <c r="T60" s="88">
        <v>1</v>
      </c>
      <c r="U60" s="88"/>
      <c r="V60" s="87">
        <v>1</v>
      </c>
      <c r="W60" s="87">
        <v>1</v>
      </c>
      <c r="X60" s="87">
        <v>1</v>
      </c>
      <c r="Y60" s="87"/>
      <c r="Z60" s="87"/>
      <c r="AA60" s="87"/>
      <c r="AB60" s="87"/>
      <c r="AC60" s="86"/>
      <c r="AD60" s="87"/>
      <c r="AH60" s="86">
        <v>0</v>
      </c>
      <c r="AI60" s="87">
        <v>1</v>
      </c>
      <c r="AJ60" s="87">
        <v>0</v>
      </c>
      <c r="AK60" s="87">
        <v>0</v>
      </c>
      <c r="AL60" s="87">
        <v>1</v>
      </c>
      <c r="AM60" s="86"/>
      <c r="AN60" s="87"/>
      <c r="AO60" s="163"/>
      <c r="AP60" s="163"/>
      <c r="AQ60" s="163"/>
      <c r="AR60" s="163">
        <v>1</v>
      </c>
      <c r="AS60" s="163">
        <v>1</v>
      </c>
      <c r="AT60" s="163">
        <v>1</v>
      </c>
      <c r="AU60" s="163"/>
      <c r="AV60" s="91">
        <v>1</v>
      </c>
      <c r="AW60" t="s">
        <v>105</v>
      </c>
      <c r="AY60" s="162"/>
      <c r="AZ60" s="162" t="str">
        <f t="shared" si="0"/>
        <v>0</v>
      </c>
      <c r="BA60" s="162" t="str">
        <f t="shared" si="1"/>
        <v>0</v>
      </c>
      <c r="BB60" s="162" t="str">
        <f t="shared" si="2"/>
        <v>0</v>
      </c>
      <c r="BC60" s="162" t="str">
        <f t="shared" si="3"/>
        <v>1</v>
      </c>
      <c r="BD60" s="162" t="str">
        <f t="shared" si="4"/>
        <v>1</v>
      </c>
      <c r="BE60" s="162" t="str">
        <f t="shared" si="5"/>
        <v>1</v>
      </c>
      <c r="BF60" s="162" t="str">
        <f t="shared" si="6"/>
        <v>0</v>
      </c>
      <c r="BG60" s="162" t="str">
        <f t="shared" si="7"/>
        <v>1</v>
      </c>
      <c r="BK60" s="163">
        <v>0</v>
      </c>
      <c r="BL60" s="163">
        <v>0</v>
      </c>
      <c r="BM60" s="163">
        <v>0</v>
      </c>
      <c r="BN60" s="163">
        <v>1</v>
      </c>
      <c r="BO60" s="163">
        <v>1</v>
      </c>
      <c r="BP60" s="163">
        <v>1</v>
      </c>
      <c r="BQ60" s="163">
        <v>0</v>
      </c>
      <c r="BR60" s="91">
        <v>1</v>
      </c>
    </row>
    <row r="61" spans="5:70" ht="15" customHeight="1" x14ac:dyDescent="0.25">
      <c r="E61" s="147" t="s">
        <v>61</v>
      </c>
      <c r="F61" s="147" t="s">
        <v>46</v>
      </c>
      <c r="G61" s="148">
        <v>11110</v>
      </c>
      <c r="I61" s="90" t="str">
        <f>MID($G61,5,1)</f>
        <v>0</v>
      </c>
      <c r="J61" s="90" t="str">
        <f>MID($G61,4,1)</f>
        <v>1</v>
      </c>
      <c r="K61" s="90" t="str">
        <f>MID($G61,3,1)</f>
        <v>1</v>
      </c>
      <c r="L61" s="90" t="str">
        <f>MID($G61,2,1)</f>
        <v>1</v>
      </c>
      <c r="M61" s="90" t="str">
        <f>MID($G61,1,1)</f>
        <v>1</v>
      </c>
      <c r="O61" s="86">
        <v>0</v>
      </c>
      <c r="P61" s="173">
        <v>1</v>
      </c>
      <c r="Q61" s="87">
        <v>0</v>
      </c>
      <c r="R61" s="173">
        <v>1</v>
      </c>
      <c r="S61" s="87">
        <v>0</v>
      </c>
      <c r="T61" s="177"/>
      <c r="U61" s="88"/>
      <c r="V61" s="87">
        <v>1</v>
      </c>
      <c r="W61" s="87">
        <v>1</v>
      </c>
      <c r="X61" s="87">
        <v>1</v>
      </c>
      <c r="Y61" s="87"/>
      <c r="Z61" s="87"/>
      <c r="AA61" s="172">
        <v>1</v>
      </c>
      <c r="AB61" s="87"/>
      <c r="AC61" s="175">
        <v>1</v>
      </c>
      <c r="AD61" s="87"/>
      <c r="AH61" s="86">
        <v>0</v>
      </c>
      <c r="AI61" s="87">
        <v>1</v>
      </c>
      <c r="AJ61" s="87">
        <v>0</v>
      </c>
      <c r="AK61" s="87">
        <v>1</v>
      </c>
      <c r="AL61" s="87">
        <v>0</v>
      </c>
      <c r="AM61" s="86"/>
      <c r="AN61" s="87"/>
      <c r="AO61" s="163"/>
      <c r="AP61" s="163"/>
      <c r="AQ61" s="163"/>
      <c r="AR61" s="163">
        <v>1</v>
      </c>
      <c r="AS61" s="163">
        <v>1</v>
      </c>
      <c r="AT61" s="163">
        <v>1</v>
      </c>
      <c r="AU61" s="163"/>
      <c r="AV61" s="91"/>
      <c r="AW61" t="s">
        <v>104</v>
      </c>
      <c r="AY61" s="162"/>
      <c r="AZ61" s="162" t="str">
        <f t="shared" si="0"/>
        <v>0</v>
      </c>
      <c r="BA61" s="162" t="str">
        <f t="shared" si="1"/>
        <v>0</v>
      </c>
      <c r="BB61" s="162" t="str">
        <f t="shared" si="2"/>
        <v>0</v>
      </c>
      <c r="BC61" s="162" t="str">
        <f t="shared" si="3"/>
        <v>1</v>
      </c>
      <c r="BD61" s="162" t="str">
        <f t="shared" si="4"/>
        <v>1</v>
      </c>
      <c r="BE61" s="162" t="str">
        <f t="shared" si="5"/>
        <v>1</v>
      </c>
      <c r="BF61" s="162" t="str">
        <f t="shared" si="6"/>
        <v>0</v>
      </c>
      <c r="BG61" s="162" t="str">
        <f t="shared" si="7"/>
        <v>0</v>
      </c>
      <c r="BK61" s="163">
        <v>0</v>
      </c>
      <c r="BL61" s="163">
        <v>0</v>
      </c>
      <c r="BM61" s="163">
        <v>0</v>
      </c>
      <c r="BN61" s="163">
        <v>1</v>
      </c>
      <c r="BO61" s="163">
        <v>1</v>
      </c>
      <c r="BP61" s="163">
        <v>1</v>
      </c>
      <c r="BQ61" s="163">
        <v>0</v>
      </c>
      <c r="BR61" s="91">
        <v>0</v>
      </c>
    </row>
    <row r="62" spans="5:70" x14ac:dyDescent="0.25">
      <c r="E62" s="147" t="s">
        <v>65</v>
      </c>
      <c r="F62" s="147" t="s">
        <v>46</v>
      </c>
      <c r="G62" s="148">
        <v>11110</v>
      </c>
      <c r="I62" s="90" t="str">
        <f>MID($G62,5,1)</f>
        <v>0</v>
      </c>
      <c r="J62" s="90" t="str">
        <f>MID($G62,4,1)</f>
        <v>1</v>
      </c>
      <c r="K62" s="90" t="str">
        <f>MID($G62,3,1)</f>
        <v>1</v>
      </c>
      <c r="L62" s="90" t="str">
        <f>MID($G62,2,1)</f>
        <v>1</v>
      </c>
      <c r="M62" s="90" t="str">
        <f>MID($G62,1,1)</f>
        <v>1</v>
      </c>
      <c r="O62" s="86">
        <v>0</v>
      </c>
      <c r="P62" s="173">
        <v>1</v>
      </c>
      <c r="Q62" s="87">
        <v>0</v>
      </c>
      <c r="R62" s="173">
        <v>1</v>
      </c>
      <c r="S62" s="87">
        <v>1</v>
      </c>
      <c r="T62" s="177">
        <v>1</v>
      </c>
      <c r="U62" s="88"/>
      <c r="V62" s="87">
        <v>1</v>
      </c>
      <c r="W62" s="87">
        <v>1</v>
      </c>
      <c r="X62" s="87">
        <v>1</v>
      </c>
      <c r="Y62" s="87"/>
      <c r="Z62" s="87"/>
      <c r="AA62" s="172"/>
      <c r="AB62" s="87"/>
      <c r="AC62" s="175">
        <v>1</v>
      </c>
      <c r="AD62" s="87"/>
      <c r="AH62" s="86">
        <v>0</v>
      </c>
      <c r="AI62" s="87">
        <v>1</v>
      </c>
      <c r="AJ62" s="87">
        <v>0</v>
      </c>
      <c r="AK62" s="87">
        <v>1</v>
      </c>
      <c r="AL62" s="87">
        <v>1</v>
      </c>
      <c r="AM62" s="86"/>
      <c r="AN62" s="87"/>
      <c r="AO62" s="163"/>
      <c r="AP62" s="163"/>
      <c r="AQ62" s="163"/>
      <c r="AR62" s="163">
        <v>1</v>
      </c>
      <c r="AS62" s="163">
        <v>1</v>
      </c>
      <c r="AT62" s="163">
        <v>1</v>
      </c>
      <c r="AU62" s="163"/>
      <c r="AV62" s="91">
        <v>1</v>
      </c>
      <c r="AW62" t="s">
        <v>105</v>
      </c>
      <c r="AY62" s="162"/>
      <c r="AZ62" s="162" t="str">
        <f t="shared" si="0"/>
        <v>0</v>
      </c>
      <c r="BA62" s="162" t="str">
        <f t="shared" si="1"/>
        <v>0</v>
      </c>
      <c r="BB62" s="162" t="str">
        <f t="shared" si="2"/>
        <v>0</v>
      </c>
      <c r="BC62" s="162" t="str">
        <f t="shared" si="3"/>
        <v>1</v>
      </c>
      <c r="BD62" s="162" t="str">
        <f t="shared" si="4"/>
        <v>1</v>
      </c>
      <c r="BE62" s="162" t="str">
        <f t="shared" si="5"/>
        <v>1</v>
      </c>
      <c r="BF62" s="162" t="str">
        <f t="shared" si="6"/>
        <v>0</v>
      </c>
      <c r="BG62" s="162" t="str">
        <f t="shared" si="7"/>
        <v>1</v>
      </c>
      <c r="BK62" s="163">
        <v>0</v>
      </c>
      <c r="BL62" s="163">
        <v>0</v>
      </c>
      <c r="BM62" s="163">
        <v>0</v>
      </c>
      <c r="BN62" s="163">
        <v>1</v>
      </c>
      <c r="BO62" s="163">
        <v>1</v>
      </c>
      <c r="BP62" s="163">
        <v>1</v>
      </c>
      <c r="BQ62" s="163">
        <v>0</v>
      </c>
      <c r="BR62" s="91">
        <v>1</v>
      </c>
    </row>
    <row r="63" spans="5:70" ht="15" customHeight="1" x14ac:dyDescent="0.25">
      <c r="E63" s="147" t="s">
        <v>57</v>
      </c>
      <c r="F63" s="147" t="s">
        <v>58</v>
      </c>
      <c r="G63" s="148" t="s">
        <v>73</v>
      </c>
      <c r="I63" s="149" t="str">
        <f>MID($G63,5,1)</f>
        <v>1</v>
      </c>
      <c r="J63" s="149" t="str">
        <f>MID($G63,4,1)</f>
        <v>0</v>
      </c>
      <c r="K63" s="149" t="str">
        <f>MID($G63,3,1)</f>
        <v>0</v>
      </c>
      <c r="L63" s="149" t="str">
        <f>MID($G63,2,1)</f>
        <v>0</v>
      </c>
      <c r="M63" s="149" t="str">
        <f>MID($G63,1,1)</f>
        <v>0</v>
      </c>
      <c r="O63" s="86">
        <v>0</v>
      </c>
      <c r="P63" s="173">
        <v>1</v>
      </c>
      <c r="Q63" s="87">
        <v>1</v>
      </c>
      <c r="R63" s="87">
        <v>0</v>
      </c>
      <c r="S63" s="87">
        <v>0</v>
      </c>
      <c r="T63" s="88">
        <v>1</v>
      </c>
      <c r="U63" s="88"/>
      <c r="V63" s="87">
        <v>1</v>
      </c>
      <c r="W63" s="87">
        <v>1</v>
      </c>
      <c r="X63" s="87"/>
      <c r="Y63" s="87"/>
      <c r="Z63" s="87"/>
      <c r="AA63" s="87"/>
      <c r="AB63" s="87"/>
      <c r="AC63" s="86"/>
      <c r="AD63" s="87"/>
      <c r="AH63" s="86">
        <v>0</v>
      </c>
      <c r="AI63" s="87">
        <v>1</v>
      </c>
      <c r="AJ63" s="87">
        <v>1</v>
      </c>
      <c r="AK63" s="87">
        <v>0</v>
      </c>
      <c r="AL63" s="87">
        <v>0</v>
      </c>
      <c r="AM63" s="86"/>
      <c r="AN63" s="87"/>
      <c r="AO63" s="163"/>
      <c r="AP63" s="163"/>
      <c r="AQ63" s="163"/>
      <c r="AR63" s="163"/>
      <c r="AS63" s="163">
        <v>1</v>
      </c>
      <c r="AT63" s="163">
        <v>1</v>
      </c>
      <c r="AU63" s="163"/>
      <c r="AV63" s="91">
        <v>1</v>
      </c>
      <c r="AW63" t="s">
        <v>107</v>
      </c>
      <c r="AY63" s="162"/>
      <c r="AZ63" s="162" t="str">
        <f t="shared" si="0"/>
        <v>0</v>
      </c>
      <c r="BA63" s="162" t="str">
        <f t="shared" si="1"/>
        <v>0</v>
      </c>
      <c r="BB63" s="162" t="str">
        <f t="shared" si="2"/>
        <v>0</v>
      </c>
      <c r="BC63" s="162" t="str">
        <f t="shared" si="3"/>
        <v>0</v>
      </c>
      <c r="BD63" s="162" t="str">
        <f t="shared" si="4"/>
        <v>1</v>
      </c>
      <c r="BE63" s="162" t="str">
        <f t="shared" si="5"/>
        <v>1</v>
      </c>
      <c r="BF63" s="162" t="str">
        <f t="shared" si="6"/>
        <v>0</v>
      </c>
      <c r="BG63" s="162" t="str">
        <f t="shared" si="7"/>
        <v>1</v>
      </c>
      <c r="BK63" s="163">
        <v>0</v>
      </c>
      <c r="BL63" s="163">
        <v>0</v>
      </c>
      <c r="BM63" s="163">
        <v>0</v>
      </c>
      <c r="BN63" s="163">
        <v>0</v>
      </c>
      <c r="BO63" s="163">
        <v>1</v>
      </c>
      <c r="BP63" s="163">
        <v>1</v>
      </c>
      <c r="BQ63" s="163">
        <v>0</v>
      </c>
      <c r="BR63" s="91">
        <v>1</v>
      </c>
    </row>
    <row r="64" spans="5:70" x14ac:dyDescent="0.25">
      <c r="E64" s="147" t="s">
        <v>65</v>
      </c>
      <c r="F64" s="147" t="s">
        <v>58</v>
      </c>
      <c r="G64" s="148" t="s">
        <v>73</v>
      </c>
      <c r="I64" s="149" t="str">
        <f>MID($G64,5,1)</f>
        <v>1</v>
      </c>
      <c r="J64" s="149" t="str">
        <f>MID($G64,4,1)</f>
        <v>0</v>
      </c>
      <c r="K64" s="149" t="str">
        <f>MID($G64,3,1)</f>
        <v>0</v>
      </c>
      <c r="L64" s="149" t="str">
        <f>MID($G64,2,1)</f>
        <v>0</v>
      </c>
      <c r="M64" s="149" t="str">
        <f>MID($G64,1,1)</f>
        <v>0</v>
      </c>
      <c r="O64" s="86">
        <v>0</v>
      </c>
      <c r="P64" s="173">
        <v>1</v>
      </c>
      <c r="Q64" s="87">
        <v>1</v>
      </c>
      <c r="R64" s="87">
        <v>0</v>
      </c>
      <c r="S64" s="87">
        <v>1</v>
      </c>
      <c r="T64" s="88">
        <v>1</v>
      </c>
      <c r="U64" s="88"/>
      <c r="V64" s="87">
        <v>1</v>
      </c>
      <c r="W64" s="87">
        <v>1</v>
      </c>
      <c r="X64" s="87"/>
      <c r="Y64" s="87"/>
      <c r="Z64" s="87"/>
      <c r="AA64" s="87"/>
      <c r="AB64" s="87">
        <v>1</v>
      </c>
      <c r="AC64" s="86"/>
      <c r="AD64" s="87"/>
      <c r="AH64" s="86">
        <v>0</v>
      </c>
      <c r="AI64" s="87">
        <v>1</v>
      </c>
      <c r="AJ64" s="87">
        <v>1</v>
      </c>
      <c r="AK64" s="87">
        <v>0</v>
      </c>
      <c r="AL64" s="87">
        <v>1</v>
      </c>
      <c r="AM64" s="86"/>
      <c r="AN64" s="87"/>
      <c r="AO64" s="163">
        <v>1</v>
      </c>
      <c r="AP64" s="163"/>
      <c r="AQ64" s="163"/>
      <c r="AR64" s="163"/>
      <c r="AS64" s="163">
        <v>1</v>
      </c>
      <c r="AT64" s="163">
        <v>1</v>
      </c>
      <c r="AU64" s="163"/>
      <c r="AV64" s="91">
        <v>1</v>
      </c>
      <c r="AW64" t="s">
        <v>108</v>
      </c>
      <c r="AY64" s="162"/>
      <c r="AZ64" s="162" t="str">
        <f t="shared" si="0"/>
        <v>1</v>
      </c>
      <c r="BA64" s="162" t="str">
        <f t="shared" si="1"/>
        <v>0</v>
      </c>
      <c r="BB64" s="162" t="str">
        <f t="shared" si="2"/>
        <v>0</v>
      </c>
      <c r="BC64" s="162" t="str">
        <f t="shared" si="3"/>
        <v>0</v>
      </c>
      <c r="BD64" s="162" t="str">
        <f t="shared" si="4"/>
        <v>1</v>
      </c>
      <c r="BE64" s="162" t="str">
        <f t="shared" si="5"/>
        <v>1</v>
      </c>
      <c r="BF64" s="162" t="str">
        <f t="shared" si="6"/>
        <v>0</v>
      </c>
      <c r="BG64" s="162" t="str">
        <f t="shared" si="7"/>
        <v>1</v>
      </c>
      <c r="BK64" s="163">
        <v>1</v>
      </c>
      <c r="BL64" s="163">
        <v>0</v>
      </c>
      <c r="BM64" s="163">
        <v>0</v>
      </c>
      <c r="BN64" s="163">
        <v>0</v>
      </c>
      <c r="BO64" s="163">
        <v>1</v>
      </c>
      <c r="BP64" s="163">
        <v>1</v>
      </c>
      <c r="BQ64" s="163">
        <v>0</v>
      </c>
      <c r="BR64" s="91">
        <v>1</v>
      </c>
    </row>
    <row r="65" spans="5:70" ht="15" customHeight="1" x14ac:dyDescent="0.25">
      <c r="E65" s="147" t="s">
        <v>77</v>
      </c>
      <c r="F65" s="147" t="s">
        <v>47</v>
      </c>
      <c r="G65" s="148">
        <v>10001</v>
      </c>
      <c r="I65" s="149" t="str">
        <f>MID($G65,5,1)</f>
        <v>1</v>
      </c>
      <c r="J65" s="149" t="str">
        <f>MID($G65,4,1)</f>
        <v>0</v>
      </c>
      <c r="K65" s="149" t="str">
        <f>MID($G65,3,1)</f>
        <v>0</v>
      </c>
      <c r="L65" s="149" t="str">
        <f>MID($G65,2,1)</f>
        <v>0</v>
      </c>
      <c r="M65" s="149" t="str">
        <f>MID($G65,1,1)</f>
        <v>1</v>
      </c>
      <c r="O65" s="86">
        <v>0</v>
      </c>
      <c r="P65" s="173">
        <v>1</v>
      </c>
      <c r="Q65" s="87">
        <v>1</v>
      </c>
      <c r="R65" s="173">
        <v>1</v>
      </c>
      <c r="S65" s="87">
        <v>0</v>
      </c>
      <c r="T65" s="177"/>
      <c r="U65" s="88"/>
      <c r="V65" s="87">
        <v>1</v>
      </c>
      <c r="W65" s="87">
        <v>1</v>
      </c>
      <c r="X65" s="87"/>
      <c r="Y65" s="87">
        <v>1</v>
      </c>
      <c r="Z65" s="87"/>
      <c r="AA65" s="172">
        <v>1</v>
      </c>
      <c r="AB65" s="87"/>
      <c r="AC65" s="175">
        <v>1</v>
      </c>
      <c r="AD65" s="87"/>
      <c r="AH65" s="86">
        <v>0</v>
      </c>
      <c r="AI65" s="87">
        <v>1</v>
      </c>
      <c r="AJ65" s="87">
        <v>1</v>
      </c>
      <c r="AK65" s="87">
        <v>1</v>
      </c>
      <c r="AL65" s="87">
        <v>0</v>
      </c>
      <c r="AM65" s="86"/>
      <c r="AN65" s="87"/>
      <c r="AO65" s="163"/>
      <c r="AP65" s="163"/>
      <c r="AQ65" s="163">
        <v>1</v>
      </c>
      <c r="AR65" s="163"/>
      <c r="AS65" s="163">
        <v>1</v>
      </c>
      <c r="AT65" s="163">
        <v>1</v>
      </c>
      <c r="AU65" s="163"/>
      <c r="AV65" s="91"/>
      <c r="AW65" t="s">
        <v>109</v>
      </c>
      <c r="AY65" s="162"/>
      <c r="AZ65" s="162" t="str">
        <f t="shared" si="0"/>
        <v>0</v>
      </c>
      <c r="BA65" s="162" t="str">
        <f t="shared" si="1"/>
        <v>0</v>
      </c>
      <c r="BB65" s="162" t="str">
        <f t="shared" si="2"/>
        <v>1</v>
      </c>
      <c r="BC65" s="162" t="str">
        <f t="shared" si="3"/>
        <v>0</v>
      </c>
      <c r="BD65" s="162" t="str">
        <f t="shared" si="4"/>
        <v>1</v>
      </c>
      <c r="BE65" s="162" t="str">
        <f t="shared" si="5"/>
        <v>1</v>
      </c>
      <c r="BF65" s="162" t="str">
        <f t="shared" si="6"/>
        <v>0</v>
      </c>
      <c r="BG65" s="162" t="str">
        <f t="shared" si="7"/>
        <v>0</v>
      </c>
      <c r="BK65" s="163">
        <v>0</v>
      </c>
      <c r="BL65" s="163">
        <v>0</v>
      </c>
      <c r="BM65" s="163">
        <v>1</v>
      </c>
      <c r="BN65" s="163">
        <v>0</v>
      </c>
      <c r="BO65" s="163">
        <v>1</v>
      </c>
      <c r="BP65" s="163">
        <v>1</v>
      </c>
      <c r="BQ65" s="163">
        <v>0</v>
      </c>
      <c r="BR65" s="91">
        <v>0</v>
      </c>
    </row>
    <row r="66" spans="5:70" x14ac:dyDescent="0.25">
      <c r="E66" s="147" t="s">
        <v>77</v>
      </c>
      <c r="F66" s="147" t="s">
        <v>48</v>
      </c>
      <c r="G66" s="148">
        <v>11001</v>
      </c>
      <c r="I66" s="149" t="str">
        <f>MID($G66,5,1)</f>
        <v>1</v>
      </c>
      <c r="J66" s="149" t="str">
        <f>MID($G66,4,1)</f>
        <v>0</v>
      </c>
      <c r="K66" s="149" t="str">
        <f>MID($G66,3,1)</f>
        <v>0</v>
      </c>
      <c r="L66" s="149" t="str">
        <f>MID($G66,2,1)</f>
        <v>1</v>
      </c>
      <c r="M66" s="149" t="str">
        <f>MID($G66,1,1)</f>
        <v>1</v>
      </c>
      <c r="O66" s="86">
        <v>0</v>
      </c>
      <c r="P66" s="173">
        <v>1</v>
      </c>
      <c r="Q66" s="87">
        <v>1</v>
      </c>
      <c r="R66" s="173">
        <v>1</v>
      </c>
      <c r="S66" s="87">
        <v>1</v>
      </c>
      <c r="T66" s="179">
        <v>1</v>
      </c>
      <c r="U66" s="109"/>
      <c r="V66" s="108">
        <v>1</v>
      </c>
      <c r="W66" s="108">
        <v>1</v>
      </c>
      <c r="X66" s="108"/>
      <c r="Y66" s="108">
        <v>1</v>
      </c>
      <c r="Z66" s="108"/>
      <c r="AA66" s="178"/>
      <c r="AB66" s="108"/>
      <c r="AC66" s="176">
        <v>1</v>
      </c>
      <c r="AD66" s="87"/>
      <c r="AH66" s="107">
        <v>0</v>
      </c>
      <c r="AI66" s="108">
        <v>1</v>
      </c>
      <c r="AJ66" s="108">
        <v>1</v>
      </c>
      <c r="AK66" s="108">
        <v>1</v>
      </c>
      <c r="AL66" s="108">
        <v>1</v>
      </c>
      <c r="AM66" s="107"/>
      <c r="AN66" s="108"/>
      <c r="AO66" s="164"/>
      <c r="AP66" s="164"/>
      <c r="AQ66" s="164">
        <v>1</v>
      </c>
      <c r="AR66" s="164"/>
      <c r="AS66" s="164">
        <v>1</v>
      </c>
      <c r="AT66" s="164">
        <v>1</v>
      </c>
      <c r="AU66" s="164"/>
      <c r="AV66" s="165">
        <v>1</v>
      </c>
      <c r="AW66" t="s">
        <v>110</v>
      </c>
      <c r="AY66" s="162"/>
      <c r="AZ66" s="162" t="str">
        <f t="shared" si="0"/>
        <v>0</v>
      </c>
      <c r="BA66" s="162" t="str">
        <f t="shared" si="1"/>
        <v>0</v>
      </c>
      <c r="BB66" s="162" t="str">
        <f t="shared" si="2"/>
        <v>1</v>
      </c>
      <c r="BC66" s="162" t="str">
        <f t="shared" si="3"/>
        <v>0</v>
      </c>
      <c r="BD66" s="162" t="str">
        <f t="shared" si="4"/>
        <v>1</v>
      </c>
      <c r="BE66" s="162" t="str">
        <f t="shared" si="5"/>
        <v>1</v>
      </c>
      <c r="BF66" s="162" t="str">
        <f t="shared" si="6"/>
        <v>0</v>
      </c>
      <c r="BG66" s="162" t="str">
        <f t="shared" si="7"/>
        <v>1</v>
      </c>
      <c r="BK66" s="163">
        <v>0</v>
      </c>
      <c r="BL66" s="163">
        <v>0</v>
      </c>
      <c r="BM66" s="163">
        <v>1</v>
      </c>
      <c r="BN66" s="163">
        <v>0</v>
      </c>
      <c r="BO66" s="163">
        <v>1</v>
      </c>
      <c r="BP66" s="163">
        <v>1</v>
      </c>
      <c r="BQ66" s="163">
        <v>0</v>
      </c>
      <c r="BR66" s="91">
        <v>1</v>
      </c>
    </row>
    <row r="67" spans="5:70" x14ac:dyDescent="0.25">
      <c r="E67" s="147" t="s">
        <v>57</v>
      </c>
      <c r="F67" s="147" t="s">
        <v>59</v>
      </c>
      <c r="G67" s="148" t="s">
        <v>74</v>
      </c>
      <c r="I67" s="149" t="str">
        <f>MID($G67,5,1)</f>
        <v>1</v>
      </c>
      <c r="J67" s="149" t="str">
        <f>MID($G67,4,1)</f>
        <v>0</v>
      </c>
      <c r="K67" s="149" t="str">
        <f>MID($G67,3,1)</f>
        <v>1</v>
      </c>
      <c r="L67" s="149" t="str">
        <f>MID($G67,2,1)</f>
        <v>0</v>
      </c>
      <c r="M67" s="149" t="str">
        <f>MID($G67,1,1)</f>
        <v>0</v>
      </c>
      <c r="O67" s="86">
        <v>1</v>
      </c>
      <c r="P67" s="87">
        <v>0</v>
      </c>
      <c r="Q67" s="87">
        <v>0</v>
      </c>
      <c r="R67" s="87">
        <v>0</v>
      </c>
      <c r="S67" s="87">
        <v>0</v>
      </c>
      <c r="T67" s="88"/>
      <c r="U67" s="88"/>
      <c r="V67" s="87">
        <v>1</v>
      </c>
      <c r="W67" s="87"/>
      <c r="X67" s="87">
        <v>1</v>
      </c>
      <c r="Y67" s="87">
        <v>1</v>
      </c>
      <c r="Z67" s="87"/>
      <c r="AA67" s="87">
        <v>1</v>
      </c>
      <c r="AB67" s="87"/>
      <c r="AC67" s="86"/>
      <c r="AD67" s="87"/>
      <c r="AH67" s="105">
        <v>1</v>
      </c>
      <c r="AI67" s="79">
        <v>0</v>
      </c>
      <c r="AJ67" s="79">
        <v>0</v>
      </c>
      <c r="AK67" s="79">
        <v>0</v>
      </c>
      <c r="AL67" s="79">
        <v>0</v>
      </c>
      <c r="AM67" s="86"/>
      <c r="AN67" s="87"/>
      <c r="AO67" s="163"/>
      <c r="AP67" s="163"/>
      <c r="AQ67" s="163">
        <v>1</v>
      </c>
      <c r="AR67" s="163">
        <v>1</v>
      </c>
      <c r="AS67" s="163"/>
      <c r="AT67" s="163">
        <v>1</v>
      </c>
      <c r="AU67" s="163"/>
      <c r="AV67" s="91"/>
      <c r="AW67" t="s">
        <v>111</v>
      </c>
      <c r="AY67" s="162"/>
      <c r="AZ67" s="162" t="str">
        <f t="shared" si="0"/>
        <v>0</v>
      </c>
      <c r="BA67" s="162" t="str">
        <f t="shared" si="1"/>
        <v>0</v>
      </c>
      <c r="BB67" s="162" t="str">
        <f t="shared" si="2"/>
        <v>1</v>
      </c>
      <c r="BC67" s="162" t="str">
        <f t="shared" si="3"/>
        <v>1</v>
      </c>
      <c r="BD67" s="162" t="str">
        <f t="shared" si="4"/>
        <v>0</v>
      </c>
      <c r="BE67" s="162" t="str">
        <f t="shared" si="5"/>
        <v>1</v>
      </c>
      <c r="BF67" s="162" t="str">
        <f t="shared" si="6"/>
        <v>0</v>
      </c>
      <c r="BG67" s="162" t="str">
        <f t="shared" si="7"/>
        <v>0</v>
      </c>
      <c r="BK67" s="163">
        <v>0</v>
      </c>
      <c r="BL67" s="163">
        <v>0</v>
      </c>
      <c r="BM67" s="163">
        <v>1</v>
      </c>
      <c r="BN67" s="163">
        <v>1</v>
      </c>
      <c r="BO67" s="163">
        <v>0</v>
      </c>
      <c r="BP67" s="163">
        <v>1</v>
      </c>
      <c r="BQ67" s="163">
        <v>0</v>
      </c>
      <c r="BR67" s="91">
        <v>0</v>
      </c>
    </row>
    <row r="68" spans="5:70" x14ac:dyDescent="0.25">
      <c r="E68" s="147" t="s">
        <v>65</v>
      </c>
      <c r="F68" s="147" t="s">
        <v>59</v>
      </c>
      <c r="G68" s="148" t="s">
        <v>74</v>
      </c>
      <c r="I68" s="149" t="str">
        <f>MID($G68,5,1)</f>
        <v>1</v>
      </c>
      <c r="J68" s="149" t="str">
        <f>MID($G68,4,1)</f>
        <v>0</v>
      </c>
      <c r="K68" s="149" t="str">
        <f>MID($G68,3,1)</f>
        <v>1</v>
      </c>
      <c r="L68" s="149" t="str">
        <f>MID($G68,2,1)</f>
        <v>0</v>
      </c>
      <c r="M68" s="149" t="str">
        <f>MID($G68,1,1)</f>
        <v>0</v>
      </c>
      <c r="O68" s="86">
        <v>1</v>
      </c>
      <c r="P68" s="87">
        <v>0</v>
      </c>
      <c r="Q68" s="87">
        <v>0</v>
      </c>
      <c r="R68" s="87">
        <v>0</v>
      </c>
      <c r="S68" s="87">
        <v>1</v>
      </c>
      <c r="T68" s="88">
        <v>1</v>
      </c>
      <c r="U68" s="88"/>
      <c r="V68" s="87">
        <v>1</v>
      </c>
      <c r="W68" s="87">
        <v>1</v>
      </c>
      <c r="X68" s="87">
        <v>1</v>
      </c>
      <c r="Y68" s="87"/>
      <c r="Z68" s="87"/>
      <c r="AA68" s="87">
        <v>1</v>
      </c>
      <c r="AB68" s="87"/>
      <c r="AC68" s="86"/>
      <c r="AD68" s="87"/>
      <c r="AH68" s="86">
        <v>1</v>
      </c>
      <c r="AI68" s="87">
        <v>0</v>
      </c>
      <c r="AJ68" s="87">
        <v>0</v>
      </c>
      <c r="AK68" s="87">
        <v>0</v>
      </c>
      <c r="AL68" s="87">
        <v>1</v>
      </c>
      <c r="AM68" s="86"/>
      <c r="AN68" s="87"/>
      <c r="AO68" s="163"/>
      <c r="AP68" s="163"/>
      <c r="AQ68" s="163"/>
      <c r="AR68" s="163">
        <v>1</v>
      </c>
      <c r="AS68" s="163">
        <v>1</v>
      </c>
      <c r="AT68" s="163">
        <v>1</v>
      </c>
      <c r="AU68" s="163"/>
      <c r="AV68" s="91">
        <v>1</v>
      </c>
      <c r="AW68" t="s">
        <v>105</v>
      </c>
      <c r="AY68" s="162"/>
      <c r="AZ68" s="162" t="str">
        <f t="shared" si="0"/>
        <v>0</v>
      </c>
      <c r="BA68" s="162" t="str">
        <f t="shared" si="1"/>
        <v>0</v>
      </c>
      <c r="BB68" s="162" t="str">
        <f t="shared" si="2"/>
        <v>0</v>
      </c>
      <c r="BC68" s="162" t="str">
        <f t="shared" si="3"/>
        <v>1</v>
      </c>
      <c r="BD68" s="162" t="str">
        <f t="shared" si="4"/>
        <v>1</v>
      </c>
      <c r="BE68" s="162" t="str">
        <f t="shared" si="5"/>
        <v>1</v>
      </c>
      <c r="BF68" s="162" t="str">
        <f t="shared" si="6"/>
        <v>0</v>
      </c>
      <c r="BG68" s="162" t="str">
        <f t="shared" si="7"/>
        <v>1</v>
      </c>
      <c r="BK68" s="163">
        <v>0</v>
      </c>
      <c r="BL68" s="163">
        <v>0</v>
      </c>
      <c r="BM68" s="163">
        <v>0</v>
      </c>
      <c r="BN68" s="163">
        <v>1</v>
      </c>
      <c r="BO68" s="163">
        <v>1</v>
      </c>
      <c r="BP68" s="163">
        <v>1</v>
      </c>
      <c r="BQ68" s="163">
        <v>0</v>
      </c>
      <c r="BR68" s="91">
        <v>1</v>
      </c>
    </row>
    <row r="69" spans="5:70" ht="18.75" customHeight="1" x14ac:dyDescent="0.25">
      <c r="E69" s="147" t="s">
        <v>57</v>
      </c>
      <c r="F69" s="147" t="s">
        <v>60</v>
      </c>
      <c r="G69" s="148">
        <v>10101</v>
      </c>
      <c r="I69" s="149" t="str">
        <f>MID($G69,5,1)</f>
        <v>1</v>
      </c>
      <c r="J69" s="149" t="str">
        <f>MID($G69,4,1)</f>
        <v>0</v>
      </c>
      <c r="K69" s="149" t="str">
        <f>MID($G69,3,1)</f>
        <v>1</v>
      </c>
      <c r="L69" s="149" t="str">
        <f>MID($G69,2,1)</f>
        <v>0</v>
      </c>
      <c r="M69" s="149" t="str">
        <f>MID($G69,1,1)</f>
        <v>1</v>
      </c>
      <c r="O69" s="86">
        <v>1</v>
      </c>
      <c r="P69" s="87">
        <v>0</v>
      </c>
      <c r="Q69" s="87">
        <v>0</v>
      </c>
      <c r="R69" s="87">
        <v>1</v>
      </c>
      <c r="S69" s="87">
        <v>0</v>
      </c>
      <c r="T69" s="88"/>
      <c r="U69" s="88"/>
      <c r="V69" s="87">
        <v>1</v>
      </c>
      <c r="W69" s="87">
        <v>1</v>
      </c>
      <c r="X69" s="87">
        <v>1</v>
      </c>
      <c r="Y69" s="87"/>
      <c r="Z69" s="87"/>
      <c r="AA69" s="87">
        <v>1</v>
      </c>
      <c r="AB69" s="87"/>
      <c r="AC69" s="86">
        <v>1</v>
      </c>
      <c r="AD69" s="87"/>
      <c r="AH69" s="86">
        <v>1</v>
      </c>
      <c r="AI69" s="87">
        <v>0</v>
      </c>
      <c r="AJ69" s="87">
        <v>0</v>
      </c>
      <c r="AK69" s="87">
        <v>1</v>
      </c>
      <c r="AL69" s="87">
        <v>0</v>
      </c>
      <c r="AM69" s="86"/>
      <c r="AN69" s="87"/>
      <c r="AO69" s="163"/>
      <c r="AP69" s="163"/>
      <c r="AQ69" s="163"/>
      <c r="AR69" s="163">
        <v>1</v>
      </c>
      <c r="AS69" s="163">
        <v>1</v>
      </c>
      <c r="AT69" s="163">
        <v>1</v>
      </c>
      <c r="AU69" s="163"/>
      <c r="AV69" s="91"/>
      <c r="AW69" t="s">
        <v>104</v>
      </c>
      <c r="AY69" s="162"/>
      <c r="AZ69" s="162" t="str">
        <f t="shared" si="0"/>
        <v>0</v>
      </c>
      <c r="BA69" s="162" t="str">
        <f t="shared" si="1"/>
        <v>0</v>
      </c>
      <c r="BB69" s="162" t="str">
        <f t="shared" si="2"/>
        <v>0</v>
      </c>
      <c r="BC69" s="162" t="str">
        <f t="shared" si="3"/>
        <v>1</v>
      </c>
      <c r="BD69" s="162" t="str">
        <f t="shared" si="4"/>
        <v>1</v>
      </c>
      <c r="BE69" s="162" t="str">
        <f t="shared" si="5"/>
        <v>1</v>
      </c>
      <c r="BF69" s="162" t="str">
        <f t="shared" si="6"/>
        <v>0</v>
      </c>
      <c r="BG69" s="162" t="str">
        <f t="shared" si="7"/>
        <v>0</v>
      </c>
      <c r="BK69" s="163">
        <v>0</v>
      </c>
      <c r="BL69" s="163">
        <v>0</v>
      </c>
      <c r="BM69" s="163">
        <v>0</v>
      </c>
      <c r="BN69" s="163">
        <v>1</v>
      </c>
      <c r="BO69" s="163">
        <v>1</v>
      </c>
      <c r="BP69" s="163">
        <v>1</v>
      </c>
      <c r="BQ69" s="163">
        <v>0</v>
      </c>
      <c r="BR69" s="91">
        <v>0</v>
      </c>
    </row>
    <row r="70" spans="5:70" x14ac:dyDescent="0.25">
      <c r="E70" s="147" t="s">
        <v>65</v>
      </c>
      <c r="F70" s="147" t="s">
        <v>66</v>
      </c>
      <c r="G70" s="148">
        <v>10101</v>
      </c>
      <c r="I70" s="149" t="str">
        <f>MID($G70,5,1)</f>
        <v>1</v>
      </c>
      <c r="J70" s="149" t="str">
        <f>MID($G70,4,1)</f>
        <v>0</v>
      </c>
      <c r="K70" s="149" t="str">
        <f>MID($G70,3,1)</f>
        <v>1</v>
      </c>
      <c r="L70" s="149" t="str">
        <f>MID($G70,2,1)</f>
        <v>0</v>
      </c>
      <c r="M70" s="149" t="str">
        <f>MID($G70,1,1)</f>
        <v>1</v>
      </c>
      <c r="O70" s="86">
        <v>1</v>
      </c>
      <c r="P70" s="87">
        <v>0</v>
      </c>
      <c r="Q70" s="87">
        <v>0</v>
      </c>
      <c r="R70" s="87">
        <v>1</v>
      </c>
      <c r="S70" s="87">
        <v>1</v>
      </c>
      <c r="T70" s="88">
        <v>1</v>
      </c>
      <c r="U70" s="88"/>
      <c r="V70" s="87">
        <v>1</v>
      </c>
      <c r="W70" s="87">
        <v>1</v>
      </c>
      <c r="X70" s="87">
        <v>1</v>
      </c>
      <c r="Y70" s="87"/>
      <c r="Z70" s="87"/>
      <c r="AA70" s="87">
        <v>1</v>
      </c>
      <c r="AB70" s="87"/>
      <c r="AC70" s="86">
        <v>1</v>
      </c>
      <c r="AD70" s="87"/>
      <c r="AH70" s="86">
        <v>1</v>
      </c>
      <c r="AI70" s="87">
        <v>0</v>
      </c>
      <c r="AJ70" s="87">
        <v>0</v>
      </c>
      <c r="AK70" s="87">
        <v>1</v>
      </c>
      <c r="AL70" s="87">
        <v>1</v>
      </c>
      <c r="AM70" s="86"/>
      <c r="AN70" s="87"/>
      <c r="AO70" s="163"/>
      <c r="AP70" s="163"/>
      <c r="AQ70" s="163"/>
      <c r="AR70" s="163">
        <v>1</v>
      </c>
      <c r="AS70" s="163">
        <v>1</v>
      </c>
      <c r="AT70" s="163">
        <v>1</v>
      </c>
      <c r="AU70" s="163"/>
      <c r="AV70" s="91">
        <v>1</v>
      </c>
      <c r="AW70" t="s">
        <v>105</v>
      </c>
      <c r="AY70" s="162"/>
      <c r="AZ70" s="162" t="str">
        <f t="shared" si="0"/>
        <v>0</v>
      </c>
      <c r="BA70" s="162" t="str">
        <f t="shared" si="1"/>
        <v>0</v>
      </c>
      <c r="BB70" s="162" t="str">
        <f t="shared" si="2"/>
        <v>0</v>
      </c>
      <c r="BC70" s="162" t="str">
        <f t="shared" si="3"/>
        <v>1</v>
      </c>
      <c r="BD70" s="162" t="str">
        <f t="shared" si="4"/>
        <v>1</v>
      </c>
      <c r="BE70" s="162" t="str">
        <f t="shared" si="5"/>
        <v>1</v>
      </c>
      <c r="BF70" s="162" t="str">
        <f t="shared" si="6"/>
        <v>0</v>
      </c>
      <c r="BG70" s="162" t="str">
        <f t="shared" si="7"/>
        <v>1</v>
      </c>
      <c r="BK70" s="163">
        <v>0</v>
      </c>
      <c r="BL70" s="163">
        <v>0</v>
      </c>
      <c r="BM70" s="163">
        <v>0</v>
      </c>
      <c r="BN70" s="163">
        <v>1</v>
      </c>
      <c r="BO70" s="163">
        <v>1</v>
      </c>
      <c r="BP70" s="163">
        <v>1</v>
      </c>
      <c r="BQ70" s="163">
        <v>0</v>
      </c>
      <c r="BR70" s="91">
        <v>1</v>
      </c>
    </row>
    <row r="71" spans="5:70" ht="15" customHeight="1" x14ac:dyDescent="0.25">
      <c r="E71" s="147" t="s">
        <v>77</v>
      </c>
      <c r="F71" s="147" t="s">
        <v>49</v>
      </c>
      <c r="G71" s="148">
        <v>11101</v>
      </c>
      <c r="I71" s="149" t="str">
        <f>MID($G71,5,1)</f>
        <v>1</v>
      </c>
      <c r="J71" s="149" t="str">
        <f>MID($G71,4,1)</f>
        <v>0</v>
      </c>
      <c r="K71" s="149" t="str">
        <f>MID($G71,3,1)</f>
        <v>1</v>
      </c>
      <c r="L71" s="149" t="str">
        <f>MID($G71,2,1)</f>
        <v>1</v>
      </c>
      <c r="M71" s="149" t="str">
        <f>MID($G71,1,1)</f>
        <v>1</v>
      </c>
      <c r="O71" s="86">
        <v>1</v>
      </c>
      <c r="P71" s="87">
        <v>0</v>
      </c>
      <c r="Q71" s="87">
        <v>1</v>
      </c>
      <c r="R71" s="87">
        <v>0</v>
      </c>
      <c r="S71" s="87">
        <v>0</v>
      </c>
      <c r="T71" s="88"/>
      <c r="U71" s="88"/>
      <c r="V71" s="87">
        <v>1</v>
      </c>
      <c r="W71" s="87"/>
      <c r="X71" s="87">
        <v>1</v>
      </c>
      <c r="Y71" s="87">
        <v>1</v>
      </c>
      <c r="Z71" s="87"/>
      <c r="AA71" s="87">
        <v>1</v>
      </c>
      <c r="AB71" s="87"/>
      <c r="AC71" s="86"/>
      <c r="AD71" s="87"/>
      <c r="AH71" s="86">
        <v>1</v>
      </c>
      <c r="AI71" s="87">
        <v>0</v>
      </c>
      <c r="AJ71" s="87">
        <v>1</v>
      </c>
      <c r="AK71" s="87">
        <v>0</v>
      </c>
      <c r="AL71" s="87">
        <v>0</v>
      </c>
      <c r="AM71" s="86"/>
      <c r="AN71" s="87"/>
      <c r="AO71" s="163"/>
      <c r="AP71" s="163"/>
      <c r="AQ71" s="163">
        <v>1</v>
      </c>
      <c r="AR71" s="163">
        <v>1</v>
      </c>
      <c r="AS71" s="163"/>
      <c r="AT71" s="163">
        <v>1</v>
      </c>
      <c r="AU71" s="163"/>
      <c r="AV71" s="91"/>
      <c r="AW71" t="s">
        <v>111</v>
      </c>
      <c r="AY71" s="162"/>
      <c r="AZ71" s="162" t="str">
        <f t="shared" si="0"/>
        <v>0</v>
      </c>
      <c r="BA71" s="162" t="str">
        <f t="shared" si="1"/>
        <v>0</v>
      </c>
      <c r="BB71" s="162" t="str">
        <f t="shared" si="2"/>
        <v>1</v>
      </c>
      <c r="BC71" s="162" t="str">
        <f t="shared" si="3"/>
        <v>1</v>
      </c>
      <c r="BD71" s="162" t="str">
        <f t="shared" si="4"/>
        <v>0</v>
      </c>
      <c r="BE71" s="162" t="str">
        <f t="shared" si="5"/>
        <v>1</v>
      </c>
      <c r="BF71" s="162" t="str">
        <f t="shared" si="6"/>
        <v>0</v>
      </c>
      <c r="BG71" s="162" t="str">
        <f t="shared" si="7"/>
        <v>0</v>
      </c>
      <c r="BK71" s="163">
        <v>0</v>
      </c>
      <c r="BL71" s="163">
        <v>0</v>
      </c>
      <c r="BM71" s="163">
        <v>1</v>
      </c>
      <c r="BN71" s="163">
        <v>1</v>
      </c>
      <c r="BO71" s="163">
        <v>0</v>
      </c>
      <c r="BP71" s="163">
        <v>1</v>
      </c>
      <c r="BQ71" s="163">
        <v>0</v>
      </c>
      <c r="BR71" s="91">
        <v>0</v>
      </c>
    </row>
    <row r="72" spans="5:70" x14ac:dyDescent="0.25">
      <c r="E72" s="147" t="s">
        <v>77</v>
      </c>
      <c r="F72" s="147" t="s">
        <v>50</v>
      </c>
      <c r="G72" s="148">
        <v>10011</v>
      </c>
      <c r="I72" s="149" t="str">
        <f>MID($G72,5,1)</f>
        <v>1</v>
      </c>
      <c r="J72" s="149" t="str">
        <f>MID($G72,4,1)</f>
        <v>1</v>
      </c>
      <c r="K72" s="149" t="str">
        <f>MID($G72,3,1)</f>
        <v>0</v>
      </c>
      <c r="L72" s="149" t="str">
        <f>MID($G72,2,1)</f>
        <v>0</v>
      </c>
      <c r="M72" s="149" t="str">
        <f>MID($G72,1,1)</f>
        <v>1</v>
      </c>
      <c r="O72" s="86">
        <v>1</v>
      </c>
      <c r="P72" s="87">
        <v>0</v>
      </c>
      <c r="Q72" s="87">
        <v>1</v>
      </c>
      <c r="R72" s="87">
        <v>0</v>
      </c>
      <c r="S72" s="87">
        <v>1</v>
      </c>
      <c r="T72" s="88"/>
      <c r="U72" s="88"/>
      <c r="V72" s="87">
        <v>1</v>
      </c>
      <c r="W72" s="87"/>
      <c r="X72" s="87">
        <v>1</v>
      </c>
      <c r="Y72" s="87">
        <v>1</v>
      </c>
      <c r="Z72" s="87"/>
      <c r="AA72" s="87">
        <v>1</v>
      </c>
      <c r="AB72" s="87"/>
      <c r="AC72" s="86"/>
      <c r="AD72" s="87"/>
      <c r="AH72" s="86">
        <v>1</v>
      </c>
      <c r="AI72" s="87">
        <v>0</v>
      </c>
      <c r="AJ72" s="87">
        <v>1</v>
      </c>
      <c r="AK72" s="87">
        <v>0</v>
      </c>
      <c r="AL72" s="87">
        <v>1</v>
      </c>
      <c r="AM72" s="86"/>
      <c r="AN72" s="87"/>
      <c r="AO72" s="163"/>
      <c r="AP72" s="163"/>
      <c r="AQ72" s="163">
        <v>1</v>
      </c>
      <c r="AR72" s="163">
        <v>1</v>
      </c>
      <c r="AS72" s="163"/>
      <c r="AT72" s="163">
        <v>1</v>
      </c>
      <c r="AU72" s="163"/>
      <c r="AV72" s="91"/>
      <c r="AW72" t="s">
        <v>111</v>
      </c>
      <c r="AY72" s="162"/>
      <c r="AZ72" s="162" t="str">
        <f t="shared" si="0"/>
        <v>0</v>
      </c>
      <c r="BA72" s="162" t="str">
        <f t="shared" si="1"/>
        <v>0</v>
      </c>
      <c r="BB72" s="162" t="str">
        <f t="shared" si="2"/>
        <v>1</v>
      </c>
      <c r="BC72" s="162" t="str">
        <f t="shared" si="3"/>
        <v>1</v>
      </c>
      <c r="BD72" s="162" t="str">
        <f t="shared" si="4"/>
        <v>0</v>
      </c>
      <c r="BE72" s="162" t="str">
        <f t="shared" si="5"/>
        <v>1</v>
      </c>
      <c r="BF72" s="162" t="str">
        <f t="shared" si="6"/>
        <v>0</v>
      </c>
      <c r="BG72" s="162" t="str">
        <f t="shared" si="7"/>
        <v>0</v>
      </c>
      <c r="BK72" s="163">
        <v>0</v>
      </c>
      <c r="BL72" s="163">
        <v>0</v>
      </c>
      <c r="BM72" s="163">
        <v>1</v>
      </c>
      <c r="BN72" s="163">
        <v>1</v>
      </c>
      <c r="BO72" s="163">
        <v>0</v>
      </c>
      <c r="BP72" s="163">
        <v>1</v>
      </c>
      <c r="BQ72" s="163">
        <v>0</v>
      </c>
      <c r="BR72" s="91">
        <v>0</v>
      </c>
    </row>
    <row r="73" spans="5:70" ht="15" customHeight="1" x14ac:dyDescent="0.25">
      <c r="E73" s="147" t="s">
        <v>77</v>
      </c>
      <c r="F73" s="147" t="s">
        <v>51</v>
      </c>
      <c r="G73" s="148">
        <v>11011</v>
      </c>
      <c r="I73" s="149" t="str">
        <f>MID($G73,5,1)</f>
        <v>1</v>
      </c>
      <c r="J73" s="149" t="str">
        <f>MID($G73,4,1)</f>
        <v>1</v>
      </c>
      <c r="K73" s="149" t="str">
        <f>MID($G73,3,1)</f>
        <v>0</v>
      </c>
      <c r="L73" s="149" t="str">
        <f>MID($G73,2,1)</f>
        <v>1</v>
      </c>
      <c r="M73" s="149" t="str">
        <f>MID($G73,1,1)</f>
        <v>1</v>
      </c>
      <c r="O73" s="86">
        <v>1</v>
      </c>
      <c r="P73" s="87">
        <v>0</v>
      </c>
      <c r="Q73" s="87">
        <v>1</v>
      </c>
      <c r="R73" s="87">
        <v>1</v>
      </c>
      <c r="S73" s="87">
        <v>0</v>
      </c>
      <c r="T73" s="88"/>
      <c r="U73" s="88"/>
      <c r="V73" s="87">
        <v>1</v>
      </c>
      <c r="W73" s="87">
        <v>1</v>
      </c>
      <c r="X73" s="87">
        <v>1</v>
      </c>
      <c r="Y73" s="87"/>
      <c r="Z73" s="87"/>
      <c r="AA73" s="87">
        <v>1</v>
      </c>
      <c r="AB73" s="87"/>
      <c r="AC73" s="86">
        <v>1</v>
      </c>
      <c r="AD73" s="87"/>
      <c r="AH73" s="86">
        <v>1</v>
      </c>
      <c r="AI73" s="87">
        <v>0</v>
      </c>
      <c r="AJ73" s="87">
        <v>1</v>
      </c>
      <c r="AK73" s="87">
        <v>1</v>
      </c>
      <c r="AL73" s="87">
        <v>0</v>
      </c>
      <c r="AM73" s="86"/>
      <c r="AN73" s="87"/>
      <c r="AO73" s="163"/>
      <c r="AP73" s="163"/>
      <c r="AQ73" s="163"/>
      <c r="AR73" s="163">
        <v>1</v>
      </c>
      <c r="AS73" s="163">
        <v>1</v>
      </c>
      <c r="AT73" s="163">
        <v>1</v>
      </c>
      <c r="AU73" s="163"/>
      <c r="AV73" s="91"/>
      <c r="AW73" t="s">
        <v>104</v>
      </c>
      <c r="AY73" s="162"/>
      <c r="AZ73" s="162" t="str">
        <f t="shared" si="0"/>
        <v>0</v>
      </c>
      <c r="BA73" s="162" t="str">
        <f t="shared" si="1"/>
        <v>0</v>
      </c>
      <c r="BB73" s="162" t="str">
        <f t="shared" si="2"/>
        <v>0</v>
      </c>
      <c r="BC73" s="162" t="str">
        <f t="shared" si="3"/>
        <v>1</v>
      </c>
      <c r="BD73" s="162" t="str">
        <f t="shared" si="4"/>
        <v>1</v>
      </c>
      <c r="BE73" s="162" t="str">
        <f t="shared" si="5"/>
        <v>1</v>
      </c>
      <c r="BF73" s="162" t="str">
        <f t="shared" si="6"/>
        <v>0</v>
      </c>
      <c r="BG73" s="162" t="str">
        <f t="shared" si="7"/>
        <v>0</v>
      </c>
      <c r="BK73" s="163">
        <v>0</v>
      </c>
      <c r="BL73" s="163">
        <v>0</v>
      </c>
      <c r="BM73" s="163">
        <v>0</v>
      </c>
      <c r="BN73" s="163">
        <v>1</v>
      </c>
      <c r="BO73" s="163">
        <v>1</v>
      </c>
      <c r="BP73" s="163">
        <v>1</v>
      </c>
      <c r="BQ73" s="163">
        <v>0</v>
      </c>
      <c r="BR73" s="91">
        <v>0</v>
      </c>
    </row>
    <row r="74" spans="5:70" x14ac:dyDescent="0.25">
      <c r="E74" s="147" t="s">
        <v>53</v>
      </c>
      <c r="F74" s="147" t="s">
        <v>54</v>
      </c>
      <c r="G74" s="148" t="s">
        <v>72</v>
      </c>
      <c r="I74" s="150" t="str">
        <f>MID($G74,5,1)</f>
        <v>1</v>
      </c>
      <c r="J74" s="150" t="str">
        <f>MID($G74,4,1)</f>
        <v>1</v>
      </c>
      <c r="K74" s="150" t="str">
        <f>MID($G74,3,1)</f>
        <v>1</v>
      </c>
      <c r="L74" s="150" t="str">
        <f>MID($G74,2,1)</f>
        <v>0</v>
      </c>
      <c r="M74" s="150" t="str">
        <f>MID($G74,1,1)</f>
        <v>0</v>
      </c>
      <c r="O74" s="86">
        <v>1</v>
      </c>
      <c r="P74" s="87">
        <v>0</v>
      </c>
      <c r="Q74" s="87">
        <v>1</v>
      </c>
      <c r="R74" s="87">
        <v>1</v>
      </c>
      <c r="S74" s="87">
        <v>1</v>
      </c>
      <c r="T74" s="88">
        <v>1</v>
      </c>
      <c r="U74" s="88"/>
      <c r="V74" s="87">
        <v>1</v>
      </c>
      <c r="W74" s="87">
        <v>1</v>
      </c>
      <c r="X74" s="87">
        <v>1</v>
      </c>
      <c r="Y74" s="87"/>
      <c r="Z74" s="87"/>
      <c r="AA74" s="87">
        <v>1</v>
      </c>
      <c r="AB74" s="87"/>
      <c r="AC74" s="86">
        <v>1</v>
      </c>
      <c r="AD74" s="87"/>
      <c r="AH74" s="86">
        <v>1</v>
      </c>
      <c r="AI74" s="87">
        <v>0</v>
      </c>
      <c r="AJ74" s="87">
        <v>1</v>
      </c>
      <c r="AK74" s="87">
        <v>1</v>
      </c>
      <c r="AL74" s="87">
        <v>1</v>
      </c>
      <c r="AM74" s="86"/>
      <c r="AN74" s="87"/>
      <c r="AO74" s="163"/>
      <c r="AP74" s="163"/>
      <c r="AQ74" s="163"/>
      <c r="AR74" s="163">
        <v>1</v>
      </c>
      <c r="AS74" s="163">
        <v>1</v>
      </c>
      <c r="AT74" s="163">
        <v>1</v>
      </c>
      <c r="AU74" s="163"/>
      <c r="AV74" s="91">
        <v>1</v>
      </c>
      <c r="AW74" t="s">
        <v>105</v>
      </c>
      <c r="AY74" s="162"/>
      <c r="AZ74" s="162" t="str">
        <f t="shared" si="0"/>
        <v>0</v>
      </c>
      <c r="BA74" s="162" t="str">
        <f t="shared" si="1"/>
        <v>0</v>
      </c>
      <c r="BB74" s="162" t="str">
        <f t="shared" si="2"/>
        <v>0</v>
      </c>
      <c r="BC74" s="162" t="str">
        <f t="shared" si="3"/>
        <v>1</v>
      </c>
      <c r="BD74" s="162" t="str">
        <f t="shared" si="4"/>
        <v>1</v>
      </c>
      <c r="BE74" s="162" t="str">
        <f t="shared" si="5"/>
        <v>1</v>
      </c>
      <c r="BF74" s="162" t="str">
        <f t="shared" si="6"/>
        <v>0</v>
      </c>
      <c r="BG74" s="162" t="str">
        <f t="shared" si="7"/>
        <v>1</v>
      </c>
      <c r="BK74" s="163">
        <v>0</v>
      </c>
      <c r="BL74" s="163">
        <v>0</v>
      </c>
      <c r="BM74" s="163">
        <v>0</v>
      </c>
      <c r="BN74" s="163">
        <v>1</v>
      </c>
      <c r="BO74" s="163">
        <v>1</v>
      </c>
      <c r="BP74" s="163">
        <v>1</v>
      </c>
      <c r="BQ74" s="163">
        <v>0</v>
      </c>
      <c r="BR74" s="91">
        <v>1</v>
      </c>
    </row>
    <row r="75" spans="5:70" ht="15" customHeight="1" x14ac:dyDescent="0.25">
      <c r="E75" s="147" t="s">
        <v>56</v>
      </c>
      <c r="F75" s="147" t="s">
        <v>54</v>
      </c>
      <c r="G75" s="148" t="s">
        <v>72</v>
      </c>
      <c r="I75" s="150" t="str">
        <f>MID($G75,5,1)</f>
        <v>1</v>
      </c>
      <c r="J75" s="150" t="str">
        <f>MID($G75,4,1)</f>
        <v>1</v>
      </c>
      <c r="K75" s="150" t="str">
        <f>MID($G75,3,1)</f>
        <v>1</v>
      </c>
      <c r="L75" s="150" t="str">
        <f>MID($G75,2,1)</f>
        <v>0</v>
      </c>
      <c r="M75" s="150" t="str">
        <f>MID($G75,1,1)</f>
        <v>0</v>
      </c>
      <c r="O75" s="86">
        <v>1</v>
      </c>
      <c r="P75" s="173">
        <v>1</v>
      </c>
      <c r="Q75" s="87">
        <v>0</v>
      </c>
      <c r="R75" s="87">
        <v>0</v>
      </c>
      <c r="S75" s="87">
        <v>0</v>
      </c>
      <c r="T75" s="88"/>
      <c r="U75" s="88"/>
      <c r="V75" s="87">
        <v>1</v>
      </c>
      <c r="W75" s="87">
        <v>1</v>
      </c>
      <c r="X75" s="87">
        <v>1</v>
      </c>
      <c r="Y75" s="87"/>
      <c r="Z75" s="87"/>
      <c r="AA75" s="87">
        <v>1</v>
      </c>
      <c r="AB75" s="87"/>
      <c r="AC75" s="86"/>
      <c r="AD75" s="87"/>
      <c r="AH75" s="86">
        <v>1</v>
      </c>
      <c r="AI75" s="87">
        <v>1</v>
      </c>
      <c r="AJ75" s="87">
        <v>0</v>
      </c>
      <c r="AK75" s="87">
        <v>0</v>
      </c>
      <c r="AL75" s="87">
        <v>0</v>
      </c>
      <c r="AM75" s="86"/>
      <c r="AN75" s="87"/>
      <c r="AO75" s="163"/>
      <c r="AP75" s="163"/>
      <c r="AQ75" s="163"/>
      <c r="AR75" s="163">
        <v>1</v>
      </c>
      <c r="AS75" s="163">
        <v>1</v>
      </c>
      <c r="AT75" s="163">
        <v>1</v>
      </c>
      <c r="AU75" s="163"/>
      <c r="AV75" s="91"/>
      <c r="AW75" t="s">
        <v>104</v>
      </c>
      <c r="AY75" s="162"/>
      <c r="AZ75" s="162" t="str">
        <f t="shared" si="0"/>
        <v>0</v>
      </c>
      <c r="BA75" s="162" t="str">
        <f t="shared" si="1"/>
        <v>0</v>
      </c>
      <c r="BB75" s="162" t="str">
        <f t="shared" si="2"/>
        <v>0</v>
      </c>
      <c r="BC75" s="162" t="str">
        <f t="shared" si="3"/>
        <v>1</v>
      </c>
      <c r="BD75" s="162" t="str">
        <f t="shared" si="4"/>
        <v>1</v>
      </c>
      <c r="BE75" s="162" t="str">
        <f t="shared" si="5"/>
        <v>1</v>
      </c>
      <c r="BF75" s="162" t="str">
        <f t="shared" si="6"/>
        <v>0</v>
      </c>
      <c r="BG75" s="162" t="str">
        <f t="shared" si="7"/>
        <v>0</v>
      </c>
      <c r="BK75" s="163">
        <v>0</v>
      </c>
      <c r="BL75" s="163">
        <v>0</v>
      </c>
      <c r="BM75" s="163">
        <v>0</v>
      </c>
      <c r="BN75" s="163">
        <v>1</v>
      </c>
      <c r="BO75" s="163">
        <v>1</v>
      </c>
      <c r="BP75" s="163">
        <v>1</v>
      </c>
      <c r="BQ75" s="163">
        <v>0</v>
      </c>
      <c r="BR75" s="91">
        <v>0</v>
      </c>
    </row>
    <row r="76" spans="5:70" x14ac:dyDescent="0.25">
      <c r="E76" s="147" t="s">
        <v>61</v>
      </c>
      <c r="F76" s="147" t="s">
        <v>54</v>
      </c>
      <c r="G76" s="148" t="s">
        <v>72</v>
      </c>
      <c r="I76" s="150" t="str">
        <f>MID($G76,5,1)</f>
        <v>1</v>
      </c>
      <c r="J76" s="150" t="str">
        <f>MID($G76,4,1)</f>
        <v>1</v>
      </c>
      <c r="K76" s="150" t="str">
        <f>MID($G76,3,1)</f>
        <v>1</v>
      </c>
      <c r="L76" s="150" t="str">
        <f>MID($G76,2,1)</f>
        <v>0</v>
      </c>
      <c r="M76" s="150" t="str">
        <f>MID($G76,1,1)</f>
        <v>0</v>
      </c>
      <c r="O76" s="86">
        <v>1</v>
      </c>
      <c r="P76" s="173">
        <v>1</v>
      </c>
      <c r="Q76" s="87">
        <v>0</v>
      </c>
      <c r="R76" s="87">
        <v>0</v>
      </c>
      <c r="S76" s="87">
        <v>1</v>
      </c>
      <c r="T76" s="88">
        <v>1</v>
      </c>
      <c r="U76" s="88"/>
      <c r="V76" s="87">
        <v>1</v>
      </c>
      <c r="W76" s="87">
        <v>1</v>
      </c>
      <c r="X76" s="87">
        <v>1</v>
      </c>
      <c r="Y76" s="87"/>
      <c r="Z76" s="87"/>
      <c r="AA76" s="87">
        <v>1</v>
      </c>
      <c r="AB76" s="87"/>
      <c r="AC76" s="86"/>
      <c r="AH76" s="86">
        <v>1</v>
      </c>
      <c r="AI76" s="87">
        <v>1</v>
      </c>
      <c r="AJ76" s="87">
        <v>0</v>
      </c>
      <c r="AK76" s="87">
        <v>0</v>
      </c>
      <c r="AL76" s="87">
        <v>1</v>
      </c>
      <c r="AM76" s="86"/>
      <c r="AN76" s="87"/>
      <c r="AO76" s="163"/>
      <c r="AP76" s="163"/>
      <c r="AQ76" s="163"/>
      <c r="AR76" s="163">
        <v>1</v>
      </c>
      <c r="AS76" s="163">
        <v>1</v>
      </c>
      <c r="AT76" s="163">
        <v>1</v>
      </c>
      <c r="AU76" s="163"/>
      <c r="AV76" s="91">
        <v>1</v>
      </c>
      <c r="AW76" t="s">
        <v>105</v>
      </c>
      <c r="AY76" s="162"/>
      <c r="AZ76" s="162" t="str">
        <f t="shared" si="0"/>
        <v>0</v>
      </c>
      <c r="BA76" s="162" t="str">
        <f t="shared" si="1"/>
        <v>0</v>
      </c>
      <c r="BB76" s="162" t="str">
        <f t="shared" si="2"/>
        <v>0</v>
      </c>
      <c r="BC76" s="162" t="str">
        <f t="shared" si="3"/>
        <v>1</v>
      </c>
      <c r="BD76" s="162" t="str">
        <f t="shared" si="4"/>
        <v>1</v>
      </c>
      <c r="BE76" s="162" t="str">
        <f t="shared" si="5"/>
        <v>1</v>
      </c>
      <c r="BF76" s="162" t="str">
        <f t="shared" si="6"/>
        <v>0</v>
      </c>
      <c r="BG76" s="162" t="str">
        <f t="shared" si="7"/>
        <v>1</v>
      </c>
      <c r="BK76" s="163">
        <v>0</v>
      </c>
      <c r="BL76" s="163">
        <v>0</v>
      </c>
      <c r="BM76" s="163">
        <v>0</v>
      </c>
      <c r="BN76" s="163">
        <v>1</v>
      </c>
      <c r="BO76" s="163">
        <v>1</v>
      </c>
      <c r="BP76" s="163">
        <v>1</v>
      </c>
      <c r="BQ76" s="163">
        <v>0</v>
      </c>
      <c r="BR76" s="91">
        <v>1</v>
      </c>
    </row>
    <row r="77" spans="5:70" ht="15" customHeight="1" x14ac:dyDescent="0.25">
      <c r="E77" s="147" t="s">
        <v>53</v>
      </c>
      <c r="F77" s="147" t="s">
        <v>55</v>
      </c>
      <c r="G77" s="148">
        <v>10111</v>
      </c>
      <c r="I77" s="149" t="str">
        <f>MID($G77,5,1)</f>
        <v>1</v>
      </c>
      <c r="J77" s="149" t="str">
        <f>MID($G77,4,1)</f>
        <v>1</v>
      </c>
      <c r="K77" s="149" t="str">
        <f>MID($G77,3,1)</f>
        <v>1</v>
      </c>
      <c r="L77" s="149" t="str">
        <f>MID($G77,2,1)</f>
        <v>0</v>
      </c>
      <c r="M77" s="149" t="str">
        <f>MID($G77,1,1)</f>
        <v>1</v>
      </c>
      <c r="O77" s="86">
        <v>1</v>
      </c>
      <c r="P77" s="173">
        <v>1</v>
      </c>
      <c r="Q77" s="87">
        <v>0</v>
      </c>
      <c r="R77" s="173">
        <v>1</v>
      </c>
      <c r="S77" s="87">
        <v>0</v>
      </c>
      <c r="T77" s="177"/>
      <c r="U77" s="88"/>
      <c r="V77" s="87">
        <v>1</v>
      </c>
      <c r="W77" s="87">
        <v>1</v>
      </c>
      <c r="X77" s="87">
        <v>1</v>
      </c>
      <c r="Y77" s="87"/>
      <c r="Z77" s="87"/>
      <c r="AA77" s="172">
        <v>1</v>
      </c>
      <c r="AB77" s="87"/>
      <c r="AC77" s="175">
        <v>1</v>
      </c>
      <c r="AH77" s="86">
        <v>1</v>
      </c>
      <c r="AI77" s="87">
        <v>1</v>
      </c>
      <c r="AJ77" s="87">
        <v>0</v>
      </c>
      <c r="AK77" s="87">
        <v>1</v>
      </c>
      <c r="AL77" s="87">
        <v>0</v>
      </c>
      <c r="AM77" s="86"/>
      <c r="AN77" s="87"/>
      <c r="AO77" s="163"/>
      <c r="AP77" s="163"/>
      <c r="AQ77" s="163"/>
      <c r="AR77" s="163">
        <v>1</v>
      </c>
      <c r="AS77" s="163">
        <v>1</v>
      </c>
      <c r="AT77" s="163">
        <v>1</v>
      </c>
      <c r="AU77" s="163"/>
      <c r="AV77" s="91"/>
      <c r="AW77" t="s">
        <v>104</v>
      </c>
      <c r="AY77" s="162"/>
      <c r="AZ77" s="162" t="str">
        <f t="shared" si="0"/>
        <v>0</v>
      </c>
      <c r="BA77" s="162" t="str">
        <f t="shared" si="1"/>
        <v>0</v>
      </c>
      <c r="BB77" s="162" t="str">
        <f t="shared" si="2"/>
        <v>0</v>
      </c>
      <c r="BC77" s="162" t="str">
        <f t="shared" si="3"/>
        <v>1</v>
      </c>
      <c r="BD77" s="162" t="str">
        <f t="shared" si="4"/>
        <v>1</v>
      </c>
      <c r="BE77" s="162" t="str">
        <f t="shared" si="5"/>
        <v>1</v>
      </c>
      <c r="BF77" s="162" t="str">
        <f t="shared" si="6"/>
        <v>0</v>
      </c>
      <c r="BG77" s="162" t="str">
        <f t="shared" si="7"/>
        <v>0</v>
      </c>
      <c r="BK77" s="163">
        <v>0</v>
      </c>
      <c r="BL77" s="163">
        <v>0</v>
      </c>
      <c r="BM77" s="163">
        <v>0</v>
      </c>
      <c r="BN77" s="163">
        <v>1</v>
      </c>
      <c r="BO77" s="163">
        <v>1</v>
      </c>
      <c r="BP77" s="163">
        <v>1</v>
      </c>
      <c r="BQ77" s="163">
        <v>0</v>
      </c>
      <c r="BR77" s="91">
        <v>0</v>
      </c>
    </row>
    <row r="78" spans="5:70" x14ac:dyDescent="0.25">
      <c r="E78" s="147" t="s">
        <v>56</v>
      </c>
      <c r="F78" s="147" t="s">
        <v>55</v>
      </c>
      <c r="G78" s="148">
        <v>10111</v>
      </c>
      <c r="I78" s="149" t="str">
        <f>MID($G78,5,1)</f>
        <v>1</v>
      </c>
      <c r="J78" s="149" t="str">
        <f>MID($G78,4,1)</f>
        <v>1</v>
      </c>
      <c r="K78" s="149" t="str">
        <f>MID($G78,3,1)</f>
        <v>1</v>
      </c>
      <c r="L78" s="149" t="str">
        <f>MID($G78,2,1)</f>
        <v>0</v>
      </c>
      <c r="M78" s="149" t="str">
        <f>MID($G78,1,1)</f>
        <v>1</v>
      </c>
      <c r="O78" s="86">
        <v>1</v>
      </c>
      <c r="P78" s="173">
        <v>1</v>
      </c>
      <c r="Q78" s="87">
        <v>0</v>
      </c>
      <c r="R78" s="173">
        <v>1</v>
      </c>
      <c r="S78" s="87">
        <v>1</v>
      </c>
      <c r="T78" s="177">
        <v>1</v>
      </c>
      <c r="U78" s="88"/>
      <c r="V78" s="87">
        <v>1</v>
      </c>
      <c r="W78" s="87">
        <v>1</v>
      </c>
      <c r="X78" s="87">
        <v>1</v>
      </c>
      <c r="Y78" s="87"/>
      <c r="Z78" s="87"/>
      <c r="AA78" s="172"/>
      <c r="AB78" s="87"/>
      <c r="AC78" s="175">
        <v>1</v>
      </c>
      <c r="AH78" s="86">
        <v>1</v>
      </c>
      <c r="AI78" s="87">
        <v>1</v>
      </c>
      <c r="AJ78" s="87">
        <v>0</v>
      </c>
      <c r="AK78" s="87">
        <v>1</v>
      </c>
      <c r="AL78" s="87">
        <v>1</v>
      </c>
      <c r="AM78" s="86"/>
      <c r="AN78" s="87"/>
      <c r="AO78" s="163"/>
      <c r="AP78" s="163"/>
      <c r="AQ78" s="163"/>
      <c r="AR78" s="163">
        <v>1</v>
      </c>
      <c r="AS78" s="163">
        <v>1</v>
      </c>
      <c r="AT78" s="163">
        <v>1</v>
      </c>
      <c r="AU78" s="163"/>
      <c r="AV78" s="91">
        <v>1</v>
      </c>
      <c r="AW78" t="s">
        <v>105</v>
      </c>
      <c r="AY78" s="162"/>
      <c r="AZ78" s="162" t="str">
        <f t="shared" si="0"/>
        <v>0</v>
      </c>
      <c r="BA78" s="162" t="str">
        <f t="shared" si="1"/>
        <v>0</v>
      </c>
      <c r="BB78" s="162" t="str">
        <f t="shared" si="2"/>
        <v>0</v>
      </c>
      <c r="BC78" s="162" t="str">
        <f t="shared" si="3"/>
        <v>1</v>
      </c>
      <c r="BD78" s="162" t="str">
        <f t="shared" si="4"/>
        <v>1</v>
      </c>
      <c r="BE78" s="162" t="str">
        <f t="shared" si="5"/>
        <v>1</v>
      </c>
      <c r="BF78" s="162" t="str">
        <f t="shared" si="6"/>
        <v>0</v>
      </c>
      <c r="BG78" s="162" t="str">
        <f t="shared" si="7"/>
        <v>1</v>
      </c>
      <c r="BK78" s="163">
        <v>0</v>
      </c>
      <c r="BL78" s="163">
        <v>0</v>
      </c>
      <c r="BM78" s="163">
        <v>0</v>
      </c>
      <c r="BN78" s="163">
        <v>1</v>
      </c>
      <c r="BO78" s="163">
        <v>1</v>
      </c>
      <c r="BP78" s="163">
        <v>1</v>
      </c>
      <c r="BQ78" s="163">
        <v>0</v>
      </c>
      <c r="BR78" s="91">
        <v>1</v>
      </c>
    </row>
    <row r="79" spans="5:70" ht="15" customHeight="1" x14ac:dyDescent="0.25">
      <c r="E79" s="147" t="s">
        <v>61</v>
      </c>
      <c r="F79" s="147" t="s">
        <v>63</v>
      </c>
      <c r="G79" s="148">
        <v>10111</v>
      </c>
      <c r="I79" s="149" t="str">
        <f>MID($G79,5,1)</f>
        <v>1</v>
      </c>
      <c r="J79" s="149" t="str">
        <f>MID($G79,4,1)</f>
        <v>1</v>
      </c>
      <c r="K79" s="149" t="str">
        <f>MID($G79,3,1)</f>
        <v>1</v>
      </c>
      <c r="L79" s="149" t="str">
        <f>MID($G79,2,1)</f>
        <v>0</v>
      </c>
      <c r="M79" s="149" t="str">
        <f>MID($G79,1,1)</f>
        <v>1</v>
      </c>
      <c r="O79" s="86">
        <v>1</v>
      </c>
      <c r="P79" s="173">
        <v>1</v>
      </c>
      <c r="Q79" s="87">
        <v>1</v>
      </c>
      <c r="R79" s="87">
        <v>0</v>
      </c>
      <c r="S79" s="87">
        <v>0</v>
      </c>
      <c r="T79" s="88"/>
      <c r="U79" s="88">
        <v>1</v>
      </c>
      <c r="V79" s="87"/>
      <c r="W79" s="87">
        <v>1</v>
      </c>
      <c r="X79" s="87"/>
      <c r="Y79" s="87"/>
      <c r="Z79" s="87"/>
      <c r="AA79" s="87">
        <v>1</v>
      </c>
      <c r="AB79" s="87"/>
      <c r="AC79" s="86"/>
      <c r="AD79" s="87"/>
      <c r="AE79" s="87"/>
      <c r="AF79" s="87"/>
      <c r="AG79" s="87"/>
      <c r="AH79" s="86">
        <v>1</v>
      </c>
      <c r="AI79" s="87">
        <v>1</v>
      </c>
      <c r="AJ79" s="87">
        <v>1</v>
      </c>
      <c r="AK79" s="87">
        <v>0</v>
      </c>
      <c r="AL79" s="87">
        <v>0</v>
      </c>
      <c r="AM79" s="86"/>
      <c r="AN79" s="87"/>
      <c r="AO79" s="163"/>
      <c r="AP79" s="163"/>
      <c r="AQ79" s="163"/>
      <c r="AR79" s="163"/>
      <c r="AS79" s="163">
        <v>1</v>
      </c>
      <c r="AT79" s="163"/>
      <c r="AU79" s="163">
        <v>1</v>
      </c>
      <c r="AV79" s="91"/>
      <c r="AW79" t="s">
        <v>112</v>
      </c>
      <c r="AY79" s="162"/>
      <c r="AZ79" s="162" t="str">
        <f t="shared" si="0"/>
        <v>0</v>
      </c>
      <c r="BA79" s="162" t="str">
        <f t="shared" si="1"/>
        <v>0</v>
      </c>
      <c r="BB79" s="162" t="str">
        <f t="shared" si="2"/>
        <v>0</v>
      </c>
      <c r="BC79" s="162" t="str">
        <f t="shared" si="3"/>
        <v>0</v>
      </c>
      <c r="BD79" s="162" t="str">
        <f t="shared" si="4"/>
        <v>1</v>
      </c>
      <c r="BE79" s="162" t="str">
        <f t="shared" si="5"/>
        <v>0</v>
      </c>
      <c r="BF79" s="162" t="str">
        <f t="shared" si="6"/>
        <v>1</v>
      </c>
      <c r="BG79" s="162" t="str">
        <f t="shared" si="7"/>
        <v>0</v>
      </c>
      <c r="BK79" s="163">
        <v>0</v>
      </c>
      <c r="BL79" s="163">
        <v>0</v>
      </c>
      <c r="BM79" s="163">
        <v>0</v>
      </c>
      <c r="BN79" s="163">
        <v>0</v>
      </c>
      <c r="BO79" s="163">
        <v>1</v>
      </c>
      <c r="BP79" s="163">
        <v>0</v>
      </c>
      <c r="BQ79" s="163">
        <v>1</v>
      </c>
      <c r="BR79" s="91">
        <v>0</v>
      </c>
    </row>
    <row r="80" spans="5:70" x14ac:dyDescent="0.25">
      <c r="E80" s="147" t="s">
        <v>67</v>
      </c>
      <c r="F80" s="147" t="s">
        <v>55</v>
      </c>
      <c r="G80" s="148">
        <v>10111</v>
      </c>
      <c r="I80" s="149" t="str">
        <f>MID($G80,5,1)</f>
        <v>1</v>
      </c>
      <c r="J80" s="149" t="str">
        <f>MID($G80,4,1)</f>
        <v>1</v>
      </c>
      <c r="K80" s="149" t="str">
        <f>MID($G80,3,1)</f>
        <v>1</v>
      </c>
      <c r="L80" s="149" t="str">
        <f>MID($G80,2,1)</f>
        <v>0</v>
      </c>
      <c r="M80" s="149" t="str">
        <f>MID($G80,1,1)</f>
        <v>1</v>
      </c>
      <c r="O80" s="86">
        <v>1</v>
      </c>
      <c r="P80" s="173">
        <v>1</v>
      </c>
      <c r="Q80" s="87">
        <v>1</v>
      </c>
      <c r="R80" s="87">
        <v>0</v>
      </c>
      <c r="S80" s="87">
        <v>1</v>
      </c>
      <c r="T80" s="88"/>
      <c r="U80" s="88">
        <v>1</v>
      </c>
      <c r="V80" s="87"/>
      <c r="W80" s="87">
        <v>1</v>
      </c>
      <c r="X80" s="87"/>
      <c r="Y80" s="87"/>
      <c r="Z80" s="87">
        <v>1</v>
      </c>
      <c r="AA80" s="87">
        <v>1</v>
      </c>
      <c r="AB80" s="87"/>
      <c r="AC80" s="86"/>
      <c r="AD80" s="87"/>
      <c r="AE80" s="87"/>
      <c r="AF80" s="87"/>
      <c r="AG80" s="87"/>
      <c r="AH80" s="86">
        <v>1</v>
      </c>
      <c r="AI80" s="87">
        <v>1</v>
      </c>
      <c r="AJ80" s="87">
        <v>1</v>
      </c>
      <c r="AK80" s="87">
        <v>0</v>
      </c>
      <c r="AL80" s="87">
        <v>1</v>
      </c>
      <c r="AM80" s="86"/>
      <c r="AN80" s="87"/>
      <c r="AO80" s="163"/>
      <c r="AP80" s="163">
        <v>1</v>
      </c>
      <c r="AQ80" s="163"/>
      <c r="AR80" s="163"/>
      <c r="AS80" s="163">
        <v>1</v>
      </c>
      <c r="AT80" s="163"/>
      <c r="AU80" s="163">
        <v>1</v>
      </c>
      <c r="AV80" s="91"/>
      <c r="AW80" t="s">
        <v>113</v>
      </c>
      <c r="AY80" s="162"/>
      <c r="AZ80" s="162" t="str">
        <f t="shared" si="0"/>
        <v>0</v>
      </c>
      <c r="BA80" s="162" t="str">
        <f t="shared" si="1"/>
        <v>1</v>
      </c>
      <c r="BB80" s="162" t="str">
        <f t="shared" si="2"/>
        <v>0</v>
      </c>
      <c r="BC80" s="162" t="str">
        <f t="shared" si="3"/>
        <v>0</v>
      </c>
      <c r="BD80" s="162" t="str">
        <f t="shared" si="4"/>
        <v>1</v>
      </c>
      <c r="BE80" s="162" t="str">
        <f t="shared" si="5"/>
        <v>0</v>
      </c>
      <c r="BF80" s="162" t="str">
        <f t="shared" si="6"/>
        <v>1</v>
      </c>
      <c r="BG80" s="162" t="str">
        <f t="shared" si="7"/>
        <v>0</v>
      </c>
      <c r="BK80" s="163">
        <v>0</v>
      </c>
      <c r="BL80" s="163">
        <v>1</v>
      </c>
      <c r="BM80" s="163">
        <v>0</v>
      </c>
      <c r="BN80" s="163">
        <v>0</v>
      </c>
      <c r="BO80" s="163">
        <v>1</v>
      </c>
      <c r="BP80" s="163">
        <v>0</v>
      </c>
      <c r="BQ80" s="163">
        <v>1</v>
      </c>
      <c r="BR80" s="91">
        <v>0</v>
      </c>
    </row>
    <row r="81" spans="5:70" x14ac:dyDescent="0.25">
      <c r="E81" s="147" t="s">
        <v>61</v>
      </c>
      <c r="F81" s="147" t="s">
        <v>64</v>
      </c>
      <c r="G81" s="148" t="s">
        <v>76</v>
      </c>
      <c r="I81" s="150" t="str">
        <f>MID($G81,5,1)</f>
        <v>1</v>
      </c>
      <c r="J81" s="150" t="str">
        <f>MID($G81,4,1)</f>
        <v>1</v>
      </c>
      <c r="K81" s="150" t="str">
        <f>MID($G81,3,1)</f>
        <v>1</v>
      </c>
      <c r="L81" s="150" t="str">
        <f>MID($G81,2,1)</f>
        <v>1</v>
      </c>
      <c r="M81" s="150" t="str">
        <f>MID($G81,1,1)</f>
        <v>0</v>
      </c>
      <c r="O81" s="86">
        <v>1</v>
      </c>
      <c r="P81" s="173">
        <v>1</v>
      </c>
      <c r="Q81" s="87">
        <v>1</v>
      </c>
      <c r="R81" s="173">
        <v>1</v>
      </c>
      <c r="S81" s="87">
        <v>0</v>
      </c>
      <c r="T81" s="177"/>
      <c r="U81" s="88"/>
      <c r="V81" s="87">
        <v>1</v>
      </c>
      <c r="W81" s="87">
        <v>1</v>
      </c>
      <c r="X81" s="87"/>
      <c r="Y81" s="87">
        <v>1</v>
      </c>
      <c r="Z81" s="87"/>
      <c r="AA81" s="172">
        <v>1</v>
      </c>
      <c r="AB81" s="87"/>
      <c r="AC81" s="175">
        <v>1</v>
      </c>
      <c r="AD81" s="87"/>
      <c r="AE81" s="87"/>
      <c r="AF81" s="87"/>
      <c r="AG81" s="87"/>
      <c r="AH81" s="86">
        <v>1</v>
      </c>
      <c r="AI81" s="87">
        <v>1</v>
      </c>
      <c r="AJ81" s="87">
        <v>1</v>
      </c>
      <c r="AK81" s="87">
        <v>1</v>
      </c>
      <c r="AL81" s="87">
        <v>0</v>
      </c>
      <c r="AM81" s="86"/>
      <c r="AN81" s="87"/>
      <c r="AO81" s="163"/>
      <c r="AP81" s="163"/>
      <c r="AQ81" s="163">
        <v>1</v>
      </c>
      <c r="AR81" s="163"/>
      <c r="AS81" s="163">
        <v>1</v>
      </c>
      <c r="AT81" s="163">
        <v>1</v>
      </c>
      <c r="AU81" s="163"/>
      <c r="AV81" s="91"/>
      <c r="AW81" t="s">
        <v>109</v>
      </c>
      <c r="AY81" s="162"/>
      <c r="AZ81" s="162" t="str">
        <f t="shared" si="0"/>
        <v>0</v>
      </c>
      <c r="BA81" s="162" t="str">
        <f t="shared" si="1"/>
        <v>0</v>
      </c>
      <c r="BB81" s="162" t="str">
        <f t="shared" si="2"/>
        <v>1</v>
      </c>
      <c r="BC81" s="162" t="str">
        <f t="shared" si="3"/>
        <v>0</v>
      </c>
      <c r="BD81" s="162" t="str">
        <f t="shared" si="4"/>
        <v>1</v>
      </c>
      <c r="BE81" s="162" t="str">
        <f t="shared" si="5"/>
        <v>1</v>
      </c>
      <c r="BF81" s="162" t="str">
        <f t="shared" si="6"/>
        <v>0</v>
      </c>
      <c r="BG81" s="162" t="str">
        <f t="shared" si="7"/>
        <v>0</v>
      </c>
      <c r="BK81" s="163">
        <v>0</v>
      </c>
      <c r="BL81" s="163">
        <v>0</v>
      </c>
      <c r="BM81" s="163">
        <v>1</v>
      </c>
      <c r="BN81" s="163">
        <v>0</v>
      </c>
      <c r="BO81" s="163">
        <v>1</v>
      </c>
      <c r="BP81" s="163">
        <v>1</v>
      </c>
      <c r="BQ81" s="163">
        <v>0</v>
      </c>
      <c r="BR81" s="91">
        <v>0</v>
      </c>
    </row>
    <row r="82" spans="5:70" x14ac:dyDescent="0.25">
      <c r="E82" s="147" t="s">
        <v>65</v>
      </c>
      <c r="F82" s="147" t="s">
        <v>64</v>
      </c>
      <c r="G82" s="148" t="s">
        <v>76</v>
      </c>
      <c r="I82" s="150" t="str">
        <f>MID($G82,5,1)</f>
        <v>1</v>
      </c>
      <c r="J82" s="150" t="str">
        <f>MID($G82,4,1)</f>
        <v>1</v>
      </c>
      <c r="K82" s="150" t="str">
        <f>MID($G82,3,1)</f>
        <v>1</v>
      </c>
      <c r="L82" s="150" t="str">
        <f>MID($G82,2,1)</f>
        <v>1</v>
      </c>
      <c r="M82" s="150" t="str">
        <f>MID($G82,1,1)</f>
        <v>0</v>
      </c>
      <c r="O82" s="107">
        <v>1</v>
      </c>
      <c r="P82" s="174">
        <v>1</v>
      </c>
      <c r="Q82" s="108">
        <v>1</v>
      </c>
      <c r="R82" s="174">
        <v>1</v>
      </c>
      <c r="S82" s="164">
        <v>1</v>
      </c>
      <c r="T82" s="179">
        <v>1</v>
      </c>
      <c r="U82" s="109"/>
      <c r="V82" s="108">
        <v>1</v>
      </c>
      <c r="W82" s="108">
        <v>1</v>
      </c>
      <c r="X82" s="108"/>
      <c r="Y82" s="108">
        <v>1</v>
      </c>
      <c r="Z82" s="108"/>
      <c r="AA82" s="178"/>
      <c r="AB82" s="108"/>
      <c r="AC82" s="176">
        <v>1</v>
      </c>
      <c r="AD82" s="87"/>
      <c r="AE82" s="87"/>
      <c r="AF82" s="87"/>
      <c r="AG82" s="87"/>
      <c r="AH82" s="156">
        <v>1</v>
      </c>
      <c r="AI82" s="108">
        <v>1</v>
      </c>
      <c r="AJ82" s="108">
        <v>1</v>
      </c>
      <c r="AK82" s="108">
        <v>1</v>
      </c>
      <c r="AL82" s="108">
        <v>1</v>
      </c>
      <c r="AM82" s="107"/>
      <c r="AN82" s="108"/>
      <c r="AO82" s="164"/>
      <c r="AP82" s="164"/>
      <c r="AQ82" s="164">
        <v>1</v>
      </c>
      <c r="AR82" s="164"/>
      <c r="AS82" s="164">
        <v>1</v>
      </c>
      <c r="AT82" s="164">
        <v>1</v>
      </c>
      <c r="AU82" s="164"/>
      <c r="AV82" s="165">
        <v>1</v>
      </c>
      <c r="AW82" t="s">
        <v>110</v>
      </c>
      <c r="AY82" s="162"/>
      <c r="AZ82" s="162" t="str">
        <f t="shared" si="0"/>
        <v>0</v>
      </c>
      <c r="BA82" s="162" t="str">
        <f t="shared" si="1"/>
        <v>0</v>
      </c>
      <c r="BB82" s="162" t="str">
        <f t="shared" si="2"/>
        <v>1</v>
      </c>
      <c r="BC82" s="162" t="str">
        <f t="shared" si="3"/>
        <v>0</v>
      </c>
      <c r="BD82" s="162" t="str">
        <f t="shared" si="4"/>
        <v>1</v>
      </c>
      <c r="BE82" s="162" t="str">
        <f t="shared" si="5"/>
        <v>1</v>
      </c>
      <c r="BF82" s="162" t="str">
        <f t="shared" si="6"/>
        <v>0</v>
      </c>
      <c r="BG82" s="162" t="str">
        <f t="shared" si="7"/>
        <v>1</v>
      </c>
      <c r="BK82" s="164">
        <v>0</v>
      </c>
      <c r="BL82" s="164">
        <v>0</v>
      </c>
      <c r="BM82" s="164">
        <v>1</v>
      </c>
      <c r="BN82" s="164">
        <v>0</v>
      </c>
      <c r="BO82" s="164">
        <v>1</v>
      </c>
      <c r="BP82" s="164">
        <v>1</v>
      </c>
      <c r="BQ82" s="164">
        <v>0</v>
      </c>
      <c r="BR82" s="165">
        <v>1</v>
      </c>
    </row>
    <row r="83" spans="5:70" x14ac:dyDescent="0.25">
      <c r="E83" s="147" t="s">
        <v>77</v>
      </c>
      <c r="F83" s="147" t="s">
        <v>52</v>
      </c>
      <c r="G83" s="148">
        <v>11111</v>
      </c>
      <c r="I83" s="149" t="str">
        <f>MID($G83,5,1)</f>
        <v>1</v>
      </c>
      <c r="J83" s="149" t="str">
        <f>MID($G83,4,1)</f>
        <v>1</v>
      </c>
      <c r="K83" s="149" t="str">
        <f>MID($G83,3,1)</f>
        <v>1</v>
      </c>
      <c r="L83" s="149" t="str">
        <f>MID($G83,2,1)</f>
        <v>1</v>
      </c>
      <c r="M83" s="149" t="str">
        <f>MID($G83,1,1)</f>
        <v>1</v>
      </c>
      <c r="O83" s="90"/>
      <c r="P83" s="90"/>
      <c r="Q83" s="90"/>
      <c r="R83" s="90"/>
      <c r="S83" s="90"/>
      <c r="T83" s="90"/>
      <c r="U83" s="90"/>
      <c r="V83" s="75"/>
      <c r="X83" s="87"/>
      <c r="Y83" s="87"/>
      <c r="Z83" s="87"/>
      <c r="AA83" s="87"/>
      <c r="AB83" s="87"/>
      <c r="AC83" s="170"/>
      <c r="AD83" s="87"/>
      <c r="AE83" s="87"/>
      <c r="AF83" s="87"/>
      <c r="AG83" s="87"/>
      <c r="AH83" s="170"/>
      <c r="AI83" s="170"/>
      <c r="AJ83" s="170"/>
      <c r="AK83" s="170"/>
      <c r="AL83" s="170"/>
      <c r="AM83" s="170"/>
      <c r="AN83" s="170"/>
      <c r="AO83" s="87"/>
      <c r="AP83" s="87"/>
      <c r="AQ83" s="87"/>
      <c r="AR83" s="87"/>
      <c r="AS83" s="87"/>
      <c r="AT83" s="75"/>
      <c r="AU83" s="75"/>
      <c r="AV83" s="90"/>
      <c r="AY83" s="37"/>
      <c r="AZ83" s="37"/>
      <c r="BA83" s="37"/>
      <c r="BB83" s="37"/>
      <c r="BC83" s="37"/>
      <c r="BD83" s="37"/>
      <c r="BE83" s="37"/>
      <c r="BF83" s="37"/>
      <c r="BG83" s="37"/>
      <c r="BH83" s="29"/>
      <c r="BI83" s="29"/>
      <c r="BJ83" s="29"/>
    </row>
    <row r="84" spans="5:70" x14ac:dyDescent="0.25">
      <c r="E84" s="147" t="s">
        <v>61</v>
      </c>
      <c r="F84" s="147" t="s">
        <v>52</v>
      </c>
      <c r="G84" s="148">
        <v>11111</v>
      </c>
      <c r="I84" s="149" t="str">
        <f>MID($G84,5,1)</f>
        <v>1</v>
      </c>
      <c r="J84" s="149" t="str">
        <f>MID($G84,4,1)</f>
        <v>1</v>
      </c>
      <c r="K84" s="149" t="str">
        <f>MID($G84,3,1)</f>
        <v>1</v>
      </c>
      <c r="L84" s="149" t="str">
        <f>MID($G84,2,1)</f>
        <v>1</v>
      </c>
      <c r="M84" s="149" t="str">
        <f>MID($G84,1,1)</f>
        <v>1</v>
      </c>
      <c r="O84" s="90"/>
      <c r="P84" s="90"/>
      <c r="Q84" s="90"/>
      <c r="R84" s="90"/>
      <c r="S84" s="90"/>
      <c r="T84" s="145">
        <f>SUM(AC51:AC82)</f>
        <v>16</v>
      </c>
      <c r="U84" s="146">
        <f>SUM(AA51:AA82)</f>
        <v>16</v>
      </c>
      <c r="V84" s="145">
        <f>SUM(Z51:Z82)</f>
        <v>1</v>
      </c>
      <c r="W84" s="145">
        <f>SUM(AB51:AB82)</f>
        <v>1</v>
      </c>
      <c r="X84" s="151">
        <f>SUM(Y51:Y82)</f>
        <v>9</v>
      </c>
      <c r="Y84" s="151">
        <f>SUM(X51:X82)</f>
        <v>24</v>
      </c>
      <c r="Z84" s="151">
        <f>SUM(W51:W82)</f>
        <v>27</v>
      </c>
      <c r="AA84" s="151">
        <f>SUM(V51:V82)</f>
        <v>30</v>
      </c>
      <c r="AB84" s="151">
        <f>SUM(U51:U82)</f>
        <v>2</v>
      </c>
      <c r="AC84" s="151">
        <f>SUM(T51:T82)</f>
        <v>16</v>
      </c>
      <c r="AD84" s="87"/>
      <c r="AE84" s="87"/>
      <c r="AF84" s="87"/>
      <c r="AG84" s="87"/>
      <c r="AH84" s="170"/>
      <c r="AI84" s="170"/>
      <c r="AJ84" s="170"/>
      <c r="AK84" s="170"/>
      <c r="AL84" s="170"/>
      <c r="AM84" s="151">
        <f>SUM(AM51:AM82)</f>
        <v>0</v>
      </c>
      <c r="AN84" s="171">
        <f>SUM(AN51:AN82)</f>
        <v>0</v>
      </c>
      <c r="AO84" s="151">
        <f>SUM(AO51:AO82)</f>
        <v>1</v>
      </c>
      <c r="AP84" s="151">
        <f>SUM(AP51:AP82)</f>
        <v>1</v>
      </c>
      <c r="AQ84" s="151">
        <f>SUM(AQ51:AQ82)</f>
        <v>9</v>
      </c>
      <c r="AR84" s="151">
        <f>SUM(AR51:AR82)</f>
        <v>24</v>
      </c>
      <c r="AS84" s="151">
        <f>SUM(AS51:AS82)</f>
        <v>27</v>
      </c>
      <c r="AT84" s="145">
        <f>SUM(AT51:AT82)</f>
        <v>30</v>
      </c>
      <c r="AU84" s="145">
        <f>SUM(AU51:AU82)</f>
        <v>2</v>
      </c>
      <c r="AV84" s="145">
        <f>SUM(AV51:AV82)</f>
        <v>16</v>
      </c>
    </row>
    <row r="85" spans="5:70" x14ac:dyDescent="0.25">
      <c r="E85" s="147" t="s">
        <v>65</v>
      </c>
      <c r="F85" s="147" t="s">
        <v>52</v>
      </c>
      <c r="G85" s="148">
        <v>11111</v>
      </c>
      <c r="I85" s="149" t="str">
        <f>MID($G85,5,1)</f>
        <v>1</v>
      </c>
      <c r="J85" s="149" t="str">
        <f>MID($G85,4,1)</f>
        <v>1</v>
      </c>
      <c r="K85" s="149" t="str">
        <f>MID($G85,3,1)</f>
        <v>1</v>
      </c>
      <c r="L85" s="149" t="str">
        <f>MID($G85,2,1)</f>
        <v>1</v>
      </c>
      <c r="M85" s="149" t="str">
        <f>MID($G85,1,1)</f>
        <v>1</v>
      </c>
    </row>
  </sheetData>
  <sortState ref="E42:L85">
    <sortCondition ref="L42:L85"/>
    <sortCondition ref="K42:K85"/>
    <sortCondition ref="J42:J85"/>
    <sortCondition ref="I42:I85"/>
    <sortCondition ref="H42:H85"/>
  </sortState>
  <mergeCells count="64">
    <mergeCell ref="BA49:BA50"/>
    <mergeCell ref="BC49:BC50"/>
    <mergeCell ref="BD49:BD50"/>
    <mergeCell ref="AO4:AP4"/>
    <mergeCell ref="AS4:AT4"/>
    <mergeCell ref="BG7:BG8"/>
    <mergeCell ref="C2:D2"/>
    <mergeCell ref="BG15:BG16"/>
    <mergeCell ref="AV15:AV16"/>
    <mergeCell ref="AZ12:BA12"/>
    <mergeCell ref="BD12:BE12"/>
    <mergeCell ref="BC42:BF42"/>
    <mergeCell ref="AZ28:BA28"/>
    <mergeCell ref="BD28:BE28"/>
    <mergeCell ref="BG39:BG40"/>
    <mergeCell ref="AM6:AM7"/>
    <mergeCell ref="AX38:AX39"/>
    <mergeCell ref="BG23:BG24"/>
    <mergeCell ref="BA33:BD33"/>
    <mergeCell ref="BG31:BG32"/>
    <mergeCell ref="AP41:AS41"/>
    <mergeCell ref="AR42:AU42"/>
    <mergeCell ref="AM38:AM39"/>
    <mergeCell ref="AV39:AV40"/>
    <mergeCell ref="BA41:BD41"/>
    <mergeCell ref="AV7:AV8"/>
    <mergeCell ref="AP9:AS9"/>
    <mergeCell ref="AR10:AU10"/>
    <mergeCell ref="AZ36:BA36"/>
    <mergeCell ref="BD36:BE36"/>
    <mergeCell ref="AO36:AP36"/>
    <mergeCell ref="AS36:AT36"/>
    <mergeCell ref="BC34:BF34"/>
    <mergeCell ref="AZ20:BA20"/>
    <mergeCell ref="BD20:BE20"/>
    <mergeCell ref="AX22:AX23"/>
    <mergeCell ref="BA25:BD25"/>
    <mergeCell ref="BC26:BF26"/>
    <mergeCell ref="AX30:AX31"/>
    <mergeCell ref="AX14:AX15"/>
    <mergeCell ref="BA17:BD17"/>
    <mergeCell ref="BC18:BF18"/>
    <mergeCell ref="AZ4:BA4"/>
    <mergeCell ref="BD4:BE4"/>
    <mergeCell ref="AX6:AX7"/>
    <mergeCell ref="BA9:BD9"/>
    <mergeCell ref="BC10:BF10"/>
    <mergeCell ref="AM14:AM15"/>
    <mergeCell ref="AO12:AP12"/>
    <mergeCell ref="AS12:AT12"/>
    <mergeCell ref="AO20:AP20"/>
    <mergeCell ref="AS20:AT20"/>
    <mergeCell ref="AM30:AM31"/>
    <mergeCell ref="AP33:AS33"/>
    <mergeCell ref="AR34:AU34"/>
    <mergeCell ref="AV31:AV32"/>
    <mergeCell ref="AP17:AS17"/>
    <mergeCell ref="AR18:AU18"/>
    <mergeCell ref="AM22:AM23"/>
    <mergeCell ref="AP25:AS25"/>
    <mergeCell ref="AR26:AU26"/>
    <mergeCell ref="AV23:AV24"/>
    <mergeCell ref="AO28:AP28"/>
    <mergeCell ref="AS28:AT28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42"/>
  <sheetViews>
    <sheetView tabSelected="1" workbookViewId="0">
      <selection activeCell="AQ17" sqref="AQ17"/>
    </sheetView>
  </sheetViews>
  <sheetFormatPr baseColWidth="10" defaultColWidth="3.85546875" defaultRowHeight="15" x14ac:dyDescent="0.25"/>
  <sheetData>
    <row r="1" spans="2:38" x14ac:dyDescent="0.25">
      <c r="R1" s="31"/>
      <c r="S1" s="31"/>
      <c r="T1" s="31"/>
      <c r="U1" s="31"/>
      <c r="V1" s="31"/>
      <c r="W1" s="31"/>
      <c r="X1" s="31"/>
      <c r="Y1" s="31"/>
      <c r="Z1" s="31"/>
      <c r="AA1" s="31"/>
      <c r="AB1" s="45"/>
      <c r="AC1" s="31"/>
      <c r="AD1" s="31"/>
      <c r="AE1" s="31"/>
      <c r="AF1" s="31"/>
      <c r="AG1" s="31"/>
      <c r="AH1" s="31"/>
      <c r="AI1" s="31"/>
      <c r="AJ1" s="31"/>
      <c r="AK1" s="31"/>
      <c r="AL1" s="31"/>
    </row>
    <row r="2" spans="2:38" x14ac:dyDescent="0.25">
      <c r="B2" s="75" t="s">
        <v>8</v>
      </c>
      <c r="C2" s="75" t="s">
        <v>1</v>
      </c>
      <c r="D2" s="75" t="s">
        <v>103</v>
      </c>
      <c r="E2" s="75" t="s">
        <v>0</v>
      </c>
      <c r="F2" s="29" t="s">
        <v>19</v>
      </c>
      <c r="G2" s="75" t="s">
        <v>8</v>
      </c>
      <c r="H2" s="75"/>
      <c r="I2" s="75"/>
      <c r="J2" s="75"/>
      <c r="K2" s="75"/>
      <c r="L2" s="75"/>
      <c r="M2" s="75" t="s">
        <v>19</v>
      </c>
      <c r="N2" s="104" t="s">
        <v>0</v>
      </c>
      <c r="O2" s="75"/>
      <c r="P2" s="75"/>
      <c r="R2" s="31"/>
      <c r="S2" s="31"/>
      <c r="T2" s="31"/>
      <c r="U2" s="31"/>
      <c r="V2" s="31"/>
      <c r="W2" s="31"/>
      <c r="X2" s="31"/>
      <c r="Y2" s="31"/>
      <c r="Z2" s="31"/>
      <c r="AA2" s="31"/>
      <c r="AB2" s="46"/>
      <c r="AC2" s="31"/>
      <c r="AD2" s="31"/>
      <c r="AE2" s="31"/>
      <c r="AF2" s="31"/>
      <c r="AG2" s="31"/>
      <c r="AH2" s="31"/>
      <c r="AI2" s="31"/>
      <c r="AJ2" s="31"/>
      <c r="AK2" s="31"/>
      <c r="AL2" s="31"/>
    </row>
    <row r="3" spans="2:38" x14ac:dyDescent="0.25">
      <c r="B3" s="76">
        <v>4</v>
      </c>
      <c r="C3" s="77">
        <v>5</v>
      </c>
      <c r="D3" s="77">
        <v>6</v>
      </c>
      <c r="E3" s="77">
        <v>7</v>
      </c>
      <c r="F3" s="77">
        <v>8</v>
      </c>
      <c r="G3" s="153">
        <v>23</v>
      </c>
      <c r="H3" s="78">
        <v>22</v>
      </c>
      <c r="I3" s="79">
        <v>21</v>
      </c>
      <c r="J3" s="79">
        <v>20</v>
      </c>
      <c r="K3" s="79">
        <v>19</v>
      </c>
      <c r="L3" s="77">
        <v>18</v>
      </c>
      <c r="M3" s="77">
        <v>17</v>
      </c>
      <c r="N3" s="166">
        <v>16</v>
      </c>
      <c r="O3" s="76">
        <v>15</v>
      </c>
      <c r="P3" s="152">
        <v>14</v>
      </c>
      <c r="R3" s="31"/>
      <c r="S3" s="31"/>
      <c r="T3" s="31"/>
      <c r="U3" s="31"/>
      <c r="V3" s="74" t="s">
        <v>22</v>
      </c>
      <c r="W3" s="31"/>
      <c r="X3" s="31"/>
      <c r="Y3" s="31"/>
      <c r="Z3" s="31"/>
      <c r="AA3" s="31"/>
      <c r="AB3" s="46"/>
      <c r="AC3" s="31"/>
      <c r="AD3" s="31"/>
      <c r="AE3" s="31"/>
      <c r="AF3" s="31"/>
      <c r="AG3" s="74" t="s">
        <v>27</v>
      </c>
      <c r="AH3" s="31"/>
      <c r="AI3" s="31"/>
      <c r="AJ3" s="31"/>
      <c r="AK3" s="31"/>
      <c r="AL3" s="31"/>
    </row>
    <row r="4" spans="2:38" x14ac:dyDescent="0.25">
      <c r="B4" s="81" t="s">
        <v>36</v>
      </c>
      <c r="C4" s="82" t="s">
        <v>35</v>
      </c>
      <c r="D4" s="82" t="s">
        <v>34</v>
      </c>
      <c r="E4" s="82" t="s">
        <v>33</v>
      </c>
      <c r="F4" s="82" t="s">
        <v>32</v>
      </c>
      <c r="G4" s="155" t="s">
        <v>31</v>
      </c>
      <c r="H4" s="83" t="s">
        <v>30</v>
      </c>
      <c r="I4" s="84" t="s">
        <v>29</v>
      </c>
      <c r="J4" s="84" t="s">
        <v>28</v>
      </c>
      <c r="K4" s="84" t="s">
        <v>27</v>
      </c>
      <c r="L4" s="82" t="s">
        <v>26</v>
      </c>
      <c r="M4" s="82" t="s">
        <v>25</v>
      </c>
      <c r="N4" s="167" t="s">
        <v>24</v>
      </c>
      <c r="O4" s="81" t="s">
        <v>23</v>
      </c>
      <c r="P4" s="154" t="s">
        <v>22</v>
      </c>
      <c r="R4" s="32"/>
      <c r="S4" s="33"/>
      <c r="T4" s="99" t="s">
        <v>87</v>
      </c>
      <c r="U4" s="99"/>
      <c r="V4" s="55"/>
      <c r="W4" s="33"/>
      <c r="X4" s="99" t="s">
        <v>87</v>
      </c>
      <c r="Y4" s="99"/>
      <c r="Z4" s="54"/>
      <c r="AA4" s="34"/>
      <c r="AB4" s="46"/>
      <c r="AC4" s="32"/>
      <c r="AD4" s="33"/>
      <c r="AE4" s="99" t="s">
        <v>87</v>
      </c>
      <c r="AF4" s="99"/>
      <c r="AG4" s="55"/>
      <c r="AH4" s="33"/>
      <c r="AI4" s="99" t="s">
        <v>87</v>
      </c>
      <c r="AJ4" s="99"/>
      <c r="AK4" s="54"/>
      <c r="AL4" s="34"/>
    </row>
    <row r="5" spans="2:38" x14ac:dyDescent="0.25">
      <c r="B5" s="86">
        <v>0</v>
      </c>
      <c r="C5" s="87">
        <v>0</v>
      </c>
      <c r="D5" s="87">
        <v>0</v>
      </c>
      <c r="E5" s="87">
        <v>0</v>
      </c>
      <c r="F5" s="87">
        <v>0</v>
      </c>
      <c r="G5" s="80"/>
      <c r="H5" s="80"/>
      <c r="I5" s="79">
        <v>1</v>
      </c>
      <c r="J5" s="79">
        <v>1</v>
      </c>
      <c r="K5" s="79">
        <v>1</v>
      </c>
      <c r="L5" s="79"/>
      <c r="M5" s="79"/>
      <c r="N5" s="79"/>
      <c r="O5" s="79"/>
      <c r="P5" s="105"/>
      <c r="R5" s="35"/>
      <c r="S5" s="32"/>
      <c r="T5" s="33"/>
      <c r="U5" s="33"/>
      <c r="V5" s="34"/>
      <c r="W5" s="33"/>
      <c r="X5" s="33"/>
      <c r="Y5" s="33"/>
      <c r="Z5" s="34"/>
      <c r="AA5" s="52"/>
      <c r="AB5" s="46"/>
      <c r="AC5" s="35"/>
      <c r="AD5" s="32"/>
      <c r="AE5" s="33"/>
      <c r="AF5" s="33"/>
      <c r="AG5" s="34"/>
      <c r="AH5" s="33"/>
      <c r="AI5" s="33"/>
      <c r="AJ5" s="33"/>
      <c r="AK5" s="34"/>
      <c r="AL5" s="52"/>
    </row>
    <row r="6" spans="2:38" x14ac:dyDescent="0.25">
      <c r="B6" s="86">
        <v>0</v>
      </c>
      <c r="C6" s="87">
        <v>0</v>
      </c>
      <c r="D6" s="87">
        <v>0</v>
      </c>
      <c r="E6" s="87">
        <v>0</v>
      </c>
      <c r="F6" s="87">
        <v>1</v>
      </c>
      <c r="G6" s="88">
        <v>1</v>
      </c>
      <c r="H6" s="88"/>
      <c r="I6" s="87">
        <v>1</v>
      </c>
      <c r="J6" s="87">
        <v>1</v>
      </c>
      <c r="K6" s="87">
        <v>1</v>
      </c>
      <c r="L6" s="87"/>
      <c r="M6" s="87"/>
      <c r="N6" s="87"/>
      <c r="O6" s="87"/>
      <c r="P6" s="86"/>
      <c r="R6" s="100" t="s">
        <v>86</v>
      </c>
      <c r="S6" s="181"/>
      <c r="T6" s="180"/>
      <c r="U6" s="180"/>
      <c r="V6" s="182"/>
      <c r="W6" s="37"/>
      <c r="X6" s="37"/>
      <c r="Y6" s="37"/>
      <c r="Z6" s="36"/>
      <c r="AA6" s="53"/>
      <c r="AB6" s="46"/>
      <c r="AC6" s="100" t="s">
        <v>86</v>
      </c>
      <c r="AD6" s="181"/>
      <c r="AE6" s="180"/>
      <c r="AF6" s="180"/>
      <c r="AG6" s="182"/>
      <c r="AH6" s="37"/>
      <c r="AI6" s="37"/>
      <c r="AJ6" s="37"/>
      <c r="AK6" s="36"/>
      <c r="AL6" s="53"/>
    </row>
    <row r="7" spans="2:38" x14ac:dyDescent="0.25">
      <c r="B7" s="86">
        <v>0</v>
      </c>
      <c r="C7" s="87">
        <v>0</v>
      </c>
      <c r="D7" s="87">
        <v>0</v>
      </c>
      <c r="E7" s="87">
        <v>1</v>
      </c>
      <c r="F7" s="87">
        <v>0</v>
      </c>
      <c r="G7" s="88"/>
      <c r="H7" s="88"/>
      <c r="I7" s="87">
        <v>1</v>
      </c>
      <c r="J7" s="87">
        <v>1</v>
      </c>
      <c r="K7" s="87">
        <v>1</v>
      </c>
      <c r="L7" s="87"/>
      <c r="M7" s="87"/>
      <c r="N7" s="87"/>
      <c r="O7" s="87"/>
      <c r="P7" s="86">
        <v>1</v>
      </c>
      <c r="R7" s="100"/>
      <c r="S7" s="181"/>
      <c r="T7" s="180"/>
      <c r="U7" s="180"/>
      <c r="V7" s="182"/>
      <c r="W7" s="37"/>
      <c r="X7" s="37"/>
      <c r="Y7" s="37"/>
      <c r="Z7" s="36"/>
      <c r="AA7" s="98" t="s">
        <v>34</v>
      </c>
      <c r="AB7" s="46"/>
      <c r="AC7" s="100"/>
      <c r="AD7" s="181"/>
      <c r="AE7" s="180"/>
      <c r="AF7" s="180"/>
      <c r="AG7" s="182"/>
      <c r="AH7" s="37"/>
      <c r="AI7" s="37"/>
      <c r="AJ7" s="37"/>
      <c r="AK7" s="36"/>
      <c r="AL7" s="98" t="s">
        <v>34</v>
      </c>
    </row>
    <row r="8" spans="2:38" x14ac:dyDescent="0.25">
      <c r="B8" s="86">
        <v>0</v>
      </c>
      <c r="C8" s="87">
        <v>0</v>
      </c>
      <c r="D8" s="87">
        <v>0</v>
      </c>
      <c r="E8" s="87">
        <v>1</v>
      </c>
      <c r="F8" s="87">
        <v>1</v>
      </c>
      <c r="G8" s="88">
        <v>1</v>
      </c>
      <c r="H8" s="88"/>
      <c r="I8" s="87">
        <v>1</v>
      </c>
      <c r="J8" s="87">
        <v>1</v>
      </c>
      <c r="K8" s="87">
        <v>1</v>
      </c>
      <c r="L8" s="87"/>
      <c r="M8" s="87"/>
      <c r="N8" s="87"/>
      <c r="O8" s="87"/>
      <c r="P8" s="86">
        <v>1</v>
      </c>
      <c r="R8" s="50"/>
      <c r="S8" s="38"/>
      <c r="T8" s="39"/>
      <c r="U8" s="39"/>
      <c r="V8" s="40"/>
      <c r="W8" s="39"/>
      <c r="X8" s="39"/>
      <c r="Y8" s="39"/>
      <c r="Z8" s="40"/>
      <c r="AA8" s="98"/>
      <c r="AB8" s="46"/>
      <c r="AC8" s="50"/>
      <c r="AD8" s="38"/>
      <c r="AE8" s="39"/>
      <c r="AF8" s="39"/>
      <c r="AG8" s="40"/>
      <c r="AH8" s="39"/>
      <c r="AI8" s="39"/>
      <c r="AJ8" s="39"/>
      <c r="AK8" s="40"/>
      <c r="AL8" s="98"/>
    </row>
    <row r="9" spans="2:38" x14ac:dyDescent="0.25">
      <c r="B9" s="86">
        <v>0</v>
      </c>
      <c r="C9" s="87">
        <v>0</v>
      </c>
      <c r="D9" s="87">
        <v>1</v>
      </c>
      <c r="E9" s="87">
        <v>0</v>
      </c>
      <c r="F9" s="87">
        <v>0</v>
      </c>
      <c r="G9" s="88">
        <v>1</v>
      </c>
      <c r="H9" s="88"/>
      <c r="I9" s="87">
        <v>1</v>
      </c>
      <c r="J9" s="87"/>
      <c r="K9" s="87">
        <v>1</v>
      </c>
      <c r="L9" s="87">
        <v>1</v>
      </c>
      <c r="M9" s="87"/>
      <c r="N9" s="87"/>
      <c r="O9" s="87"/>
      <c r="P9" s="86"/>
      <c r="R9" s="35"/>
      <c r="S9" s="37"/>
      <c r="T9" s="2"/>
      <c r="U9" s="96" t="s">
        <v>36</v>
      </c>
      <c r="V9" s="96"/>
      <c r="W9" s="96"/>
      <c r="X9" s="96"/>
      <c r="Y9" s="2"/>
      <c r="Z9" s="37"/>
      <c r="AA9" s="36"/>
      <c r="AB9" s="46"/>
      <c r="AC9" s="35"/>
      <c r="AD9" s="37"/>
      <c r="AE9" s="2"/>
      <c r="AF9" s="96" t="s">
        <v>36</v>
      </c>
      <c r="AG9" s="96"/>
      <c r="AH9" s="96"/>
      <c r="AI9" s="96"/>
      <c r="AJ9" s="2"/>
      <c r="AK9" s="37"/>
      <c r="AL9" s="36"/>
    </row>
    <row r="10" spans="2:38" x14ac:dyDescent="0.25">
      <c r="B10" s="86">
        <v>0</v>
      </c>
      <c r="C10" s="87">
        <v>0</v>
      </c>
      <c r="D10" s="87">
        <v>1</v>
      </c>
      <c r="E10" s="87">
        <v>0</v>
      </c>
      <c r="F10" s="87">
        <v>1</v>
      </c>
      <c r="G10" s="88">
        <v>1</v>
      </c>
      <c r="H10" s="88"/>
      <c r="I10" s="87">
        <v>1</v>
      </c>
      <c r="J10" s="87"/>
      <c r="K10" s="87">
        <v>1</v>
      </c>
      <c r="L10" s="87">
        <v>1</v>
      </c>
      <c r="M10" s="87"/>
      <c r="N10" s="87"/>
      <c r="O10" s="87"/>
      <c r="P10" s="86"/>
      <c r="R10" s="51"/>
      <c r="S10" s="48"/>
      <c r="T10" s="49"/>
      <c r="U10" s="49"/>
      <c r="V10" s="48"/>
      <c r="W10" s="97" t="s">
        <v>35</v>
      </c>
      <c r="X10" s="97"/>
      <c r="Y10" s="97"/>
      <c r="Z10" s="97"/>
      <c r="AA10" s="40"/>
      <c r="AB10" s="46"/>
      <c r="AC10" s="51"/>
      <c r="AD10" s="48"/>
      <c r="AE10" s="49"/>
      <c r="AF10" s="49"/>
      <c r="AG10" s="48"/>
      <c r="AH10" s="97" t="s">
        <v>35</v>
      </c>
      <c r="AI10" s="97"/>
      <c r="AJ10" s="97"/>
      <c r="AK10" s="97"/>
      <c r="AL10" s="40"/>
    </row>
    <row r="11" spans="2:38" x14ac:dyDescent="0.25">
      <c r="B11" s="86">
        <v>0</v>
      </c>
      <c r="C11" s="87">
        <v>0</v>
      </c>
      <c r="D11" s="87">
        <v>1</v>
      </c>
      <c r="E11" s="87">
        <v>1</v>
      </c>
      <c r="F11" s="87">
        <v>0</v>
      </c>
      <c r="G11" s="88"/>
      <c r="H11" s="88"/>
      <c r="I11" s="87">
        <v>1</v>
      </c>
      <c r="J11" s="87">
        <v>1</v>
      </c>
      <c r="K11" s="87">
        <v>1</v>
      </c>
      <c r="L11" s="87"/>
      <c r="M11" s="87"/>
      <c r="N11" s="87"/>
      <c r="O11" s="87"/>
      <c r="P11" s="86">
        <v>1</v>
      </c>
      <c r="R11" s="31"/>
      <c r="S11" s="31"/>
      <c r="T11" s="31"/>
      <c r="U11" s="31"/>
      <c r="V11" s="74" t="s">
        <v>23</v>
      </c>
      <c r="W11" s="31"/>
      <c r="X11" s="31"/>
      <c r="Y11" s="31"/>
      <c r="Z11" s="31"/>
      <c r="AA11" s="31"/>
      <c r="AB11" s="46"/>
      <c r="AC11" s="31"/>
      <c r="AD11" s="31"/>
      <c r="AE11" s="31"/>
      <c r="AF11" s="31"/>
      <c r="AG11" s="74" t="s">
        <v>28</v>
      </c>
      <c r="AH11" s="31"/>
      <c r="AI11" s="31"/>
      <c r="AJ11" s="31"/>
      <c r="AK11" s="31"/>
      <c r="AL11" s="31"/>
    </row>
    <row r="12" spans="2:38" x14ac:dyDescent="0.25">
      <c r="B12" s="86">
        <v>0</v>
      </c>
      <c r="C12" s="87">
        <v>0</v>
      </c>
      <c r="D12" s="87">
        <v>1</v>
      </c>
      <c r="E12" s="87">
        <v>1</v>
      </c>
      <c r="F12" s="87">
        <v>1</v>
      </c>
      <c r="G12" s="88">
        <v>1</v>
      </c>
      <c r="H12" s="88"/>
      <c r="I12" s="87">
        <v>1</v>
      </c>
      <c r="J12" s="87">
        <v>1</v>
      </c>
      <c r="K12" s="87">
        <v>1</v>
      </c>
      <c r="L12" s="87"/>
      <c r="M12" s="87"/>
      <c r="N12" s="87"/>
      <c r="O12" s="87"/>
      <c r="P12" s="86">
        <v>1</v>
      </c>
      <c r="R12" s="32"/>
      <c r="S12" s="33"/>
      <c r="T12" s="99" t="s">
        <v>87</v>
      </c>
      <c r="U12" s="99"/>
      <c r="V12" s="55"/>
      <c r="W12" s="33"/>
      <c r="X12" s="99" t="s">
        <v>87</v>
      </c>
      <c r="Y12" s="99"/>
      <c r="Z12" s="54"/>
      <c r="AA12" s="34"/>
      <c r="AB12" s="46"/>
      <c r="AC12" s="32"/>
      <c r="AD12" s="33"/>
      <c r="AE12" s="99" t="s">
        <v>87</v>
      </c>
      <c r="AF12" s="99"/>
      <c r="AG12" s="55"/>
      <c r="AH12" s="33"/>
      <c r="AI12" s="99" t="s">
        <v>87</v>
      </c>
      <c r="AJ12" s="99"/>
      <c r="AK12" s="54"/>
      <c r="AL12" s="34"/>
    </row>
    <row r="13" spans="2:38" x14ac:dyDescent="0.25">
      <c r="B13" s="86">
        <v>0</v>
      </c>
      <c r="C13" s="173">
        <v>1</v>
      </c>
      <c r="D13" s="87">
        <v>0</v>
      </c>
      <c r="E13" s="87">
        <v>0</v>
      </c>
      <c r="F13" s="87">
        <v>0</v>
      </c>
      <c r="G13" s="88"/>
      <c r="H13" s="88"/>
      <c r="I13" s="87">
        <v>1</v>
      </c>
      <c r="J13" s="87">
        <v>1</v>
      </c>
      <c r="K13" s="87">
        <v>1</v>
      </c>
      <c r="L13" s="87"/>
      <c r="M13" s="87"/>
      <c r="N13" s="87"/>
      <c r="O13" s="87"/>
      <c r="P13" s="86"/>
      <c r="R13" s="35"/>
      <c r="S13" s="32"/>
      <c r="T13" s="33"/>
      <c r="U13" s="33"/>
      <c r="V13" s="34"/>
      <c r="W13" s="33"/>
      <c r="X13" s="33"/>
      <c r="Y13" s="33"/>
      <c r="Z13" s="34"/>
      <c r="AA13" s="52"/>
      <c r="AB13" s="46"/>
      <c r="AC13" s="35"/>
      <c r="AD13" s="32"/>
      <c r="AE13" s="33"/>
      <c r="AF13" s="33"/>
      <c r="AG13" s="34"/>
      <c r="AH13" s="33"/>
      <c r="AI13" s="33"/>
      <c r="AJ13" s="33"/>
      <c r="AK13" s="34"/>
      <c r="AL13" s="52"/>
    </row>
    <row r="14" spans="2:38" x14ac:dyDescent="0.25">
      <c r="B14" s="86">
        <v>0</v>
      </c>
      <c r="C14" s="173">
        <v>1</v>
      </c>
      <c r="D14" s="87">
        <v>0</v>
      </c>
      <c r="E14" s="87">
        <v>0</v>
      </c>
      <c r="F14" s="87">
        <v>1</v>
      </c>
      <c r="G14" s="88">
        <v>1</v>
      </c>
      <c r="H14" s="88"/>
      <c r="I14" s="87">
        <v>1</v>
      </c>
      <c r="J14" s="87">
        <v>1</v>
      </c>
      <c r="K14" s="87">
        <v>1</v>
      </c>
      <c r="L14" s="87"/>
      <c r="M14" s="87"/>
      <c r="N14" s="87"/>
      <c r="O14" s="87"/>
      <c r="P14" s="86"/>
      <c r="R14" s="100" t="s">
        <v>86</v>
      </c>
      <c r="S14" s="181"/>
      <c r="T14" s="180"/>
      <c r="U14" s="180"/>
      <c r="V14" s="182"/>
      <c r="W14" s="37"/>
      <c r="X14" s="37"/>
      <c r="Y14" s="37"/>
      <c r="Z14" s="36"/>
      <c r="AA14" s="53"/>
      <c r="AB14" s="46"/>
      <c r="AC14" s="100" t="s">
        <v>86</v>
      </c>
      <c r="AD14" s="181"/>
      <c r="AE14" s="180"/>
      <c r="AF14" s="180"/>
      <c r="AG14" s="182"/>
      <c r="AH14" s="37"/>
      <c r="AI14" s="37"/>
      <c r="AJ14" s="37"/>
      <c r="AK14" s="36"/>
      <c r="AL14" s="53"/>
    </row>
    <row r="15" spans="2:38" x14ac:dyDescent="0.25">
      <c r="B15" s="86">
        <v>0</v>
      </c>
      <c r="C15" s="173">
        <v>1</v>
      </c>
      <c r="D15" s="87">
        <v>0</v>
      </c>
      <c r="E15" s="173">
        <v>1</v>
      </c>
      <c r="F15" s="87">
        <v>0</v>
      </c>
      <c r="G15" s="177"/>
      <c r="H15" s="88"/>
      <c r="I15" s="87">
        <v>1</v>
      </c>
      <c r="J15" s="87">
        <v>1</v>
      </c>
      <c r="K15" s="87">
        <v>1</v>
      </c>
      <c r="L15" s="87"/>
      <c r="M15" s="87"/>
      <c r="N15" s="172">
        <v>1</v>
      </c>
      <c r="O15" s="87"/>
      <c r="P15" s="175">
        <v>1</v>
      </c>
      <c r="R15" s="100"/>
      <c r="S15" s="181"/>
      <c r="T15" s="180"/>
      <c r="U15" s="180"/>
      <c r="V15" s="182"/>
      <c r="W15" s="37"/>
      <c r="X15" s="37"/>
      <c r="Y15" s="37"/>
      <c r="Z15" s="36"/>
      <c r="AA15" s="98" t="s">
        <v>34</v>
      </c>
      <c r="AB15" s="46"/>
      <c r="AC15" s="100"/>
      <c r="AD15" s="181"/>
      <c r="AE15" s="180"/>
      <c r="AF15" s="180"/>
      <c r="AG15" s="182"/>
      <c r="AH15" s="37"/>
      <c r="AI15" s="37"/>
      <c r="AJ15" s="37"/>
      <c r="AK15" s="36"/>
      <c r="AL15" s="98" t="s">
        <v>34</v>
      </c>
    </row>
    <row r="16" spans="2:38" x14ac:dyDescent="0.25">
      <c r="B16" s="86">
        <v>0</v>
      </c>
      <c r="C16" s="173">
        <v>1</v>
      </c>
      <c r="D16" s="87">
        <v>0</v>
      </c>
      <c r="E16" s="173">
        <v>1</v>
      </c>
      <c r="F16" s="87">
        <v>1</v>
      </c>
      <c r="G16" s="177">
        <v>1</v>
      </c>
      <c r="H16" s="88"/>
      <c r="I16" s="87">
        <v>1</v>
      </c>
      <c r="J16" s="87">
        <v>1</v>
      </c>
      <c r="K16" s="87">
        <v>1</v>
      </c>
      <c r="L16" s="87"/>
      <c r="M16" s="87"/>
      <c r="N16" s="172"/>
      <c r="O16" s="87"/>
      <c r="P16" s="175">
        <v>1</v>
      </c>
      <c r="R16" s="50"/>
      <c r="S16" s="38"/>
      <c r="T16" s="39"/>
      <c r="U16" s="39"/>
      <c r="V16" s="40"/>
      <c r="W16" s="39"/>
      <c r="X16" s="39"/>
      <c r="Y16" s="39"/>
      <c r="Z16" s="40"/>
      <c r="AA16" s="98"/>
      <c r="AB16" s="46"/>
      <c r="AC16" s="50"/>
      <c r="AD16" s="38"/>
      <c r="AE16" s="39"/>
      <c r="AF16" s="39"/>
      <c r="AG16" s="40"/>
      <c r="AH16" s="39"/>
      <c r="AI16" s="39"/>
      <c r="AJ16" s="39"/>
      <c r="AK16" s="40"/>
      <c r="AL16" s="98"/>
    </row>
    <row r="17" spans="2:38" x14ac:dyDescent="0.25">
      <c r="B17" s="86">
        <v>0</v>
      </c>
      <c r="C17" s="173">
        <v>1</v>
      </c>
      <c r="D17" s="87">
        <v>1</v>
      </c>
      <c r="E17" s="87">
        <v>0</v>
      </c>
      <c r="F17" s="87">
        <v>0</v>
      </c>
      <c r="G17" s="88">
        <v>1</v>
      </c>
      <c r="H17" s="88"/>
      <c r="I17" s="87">
        <v>1</v>
      </c>
      <c r="J17" s="87">
        <v>1</v>
      </c>
      <c r="K17" s="87"/>
      <c r="L17" s="87"/>
      <c r="M17" s="87"/>
      <c r="N17" s="87"/>
      <c r="O17" s="87"/>
      <c r="P17" s="86"/>
      <c r="R17" s="35"/>
      <c r="S17" s="37"/>
      <c r="T17" s="2"/>
      <c r="U17" s="96" t="s">
        <v>36</v>
      </c>
      <c r="V17" s="96"/>
      <c r="W17" s="96"/>
      <c r="X17" s="96"/>
      <c r="Y17" s="2"/>
      <c r="Z17" s="37"/>
      <c r="AA17" s="36"/>
      <c r="AB17" s="46"/>
      <c r="AC17" s="35"/>
      <c r="AD17" s="37"/>
      <c r="AE17" s="2"/>
      <c r="AF17" s="96" t="s">
        <v>36</v>
      </c>
      <c r="AG17" s="96"/>
      <c r="AH17" s="96"/>
      <c r="AI17" s="96"/>
      <c r="AJ17" s="2"/>
      <c r="AK17" s="37"/>
      <c r="AL17" s="36"/>
    </row>
    <row r="18" spans="2:38" x14ac:dyDescent="0.25">
      <c r="B18" s="86">
        <v>0</v>
      </c>
      <c r="C18" s="173">
        <v>1</v>
      </c>
      <c r="D18" s="87">
        <v>1</v>
      </c>
      <c r="E18" s="87">
        <v>0</v>
      </c>
      <c r="F18" s="87">
        <v>1</v>
      </c>
      <c r="G18" s="88">
        <v>1</v>
      </c>
      <c r="H18" s="88"/>
      <c r="I18" s="87">
        <v>1</v>
      </c>
      <c r="J18" s="87">
        <v>1</v>
      </c>
      <c r="K18" s="87"/>
      <c r="L18" s="87"/>
      <c r="M18" s="87"/>
      <c r="N18" s="87"/>
      <c r="O18" s="87">
        <v>1</v>
      </c>
      <c r="P18" s="86"/>
      <c r="R18" s="51"/>
      <c r="S18" s="48"/>
      <c r="T18" s="49"/>
      <c r="U18" s="49"/>
      <c r="V18" s="48"/>
      <c r="W18" s="97" t="s">
        <v>35</v>
      </c>
      <c r="X18" s="97"/>
      <c r="Y18" s="97"/>
      <c r="Z18" s="97"/>
      <c r="AA18" s="40"/>
      <c r="AB18" s="46"/>
      <c r="AC18" s="51"/>
      <c r="AD18" s="48"/>
      <c r="AE18" s="49"/>
      <c r="AF18" s="49"/>
      <c r="AG18" s="48"/>
      <c r="AH18" s="97" t="s">
        <v>35</v>
      </c>
      <c r="AI18" s="97"/>
      <c r="AJ18" s="97"/>
      <c r="AK18" s="97"/>
      <c r="AL18" s="40"/>
    </row>
    <row r="19" spans="2:38" x14ac:dyDescent="0.25">
      <c r="B19" s="86">
        <v>0</v>
      </c>
      <c r="C19" s="173">
        <v>1</v>
      </c>
      <c r="D19" s="87">
        <v>1</v>
      </c>
      <c r="E19" s="173">
        <v>1</v>
      </c>
      <c r="F19" s="87">
        <v>0</v>
      </c>
      <c r="G19" s="177"/>
      <c r="H19" s="88"/>
      <c r="I19" s="87">
        <v>1</v>
      </c>
      <c r="J19" s="87">
        <v>1</v>
      </c>
      <c r="K19" s="87"/>
      <c r="L19" s="87">
        <v>1</v>
      </c>
      <c r="M19" s="87"/>
      <c r="N19" s="172">
        <v>1</v>
      </c>
      <c r="O19" s="87"/>
      <c r="P19" s="175">
        <v>1</v>
      </c>
      <c r="R19" s="31"/>
      <c r="S19" s="31"/>
      <c r="T19" s="31"/>
      <c r="U19" s="31"/>
      <c r="V19" s="74" t="s">
        <v>24</v>
      </c>
      <c r="W19" s="31"/>
      <c r="X19" s="31"/>
      <c r="Y19" s="31"/>
      <c r="Z19" s="31"/>
      <c r="AA19" s="31"/>
      <c r="AB19" s="46"/>
      <c r="AC19" s="31"/>
      <c r="AD19" s="31"/>
      <c r="AE19" s="31"/>
      <c r="AF19" s="31"/>
      <c r="AG19" s="74" t="s">
        <v>29</v>
      </c>
      <c r="AH19" s="31"/>
      <c r="AI19" s="31"/>
      <c r="AJ19" s="31"/>
      <c r="AK19" s="31"/>
      <c r="AL19" s="31"/>
    </row>
    <row r="20" spans="2:38" x14ac:dyDescent="0.25">
      <c r="B20" s="86">
        <v>0</v>
      </c>
      <c r="C20" s="173">
        <v>1</v>
      </c>
      <c r="D20" s="87">
        <v>1</v>
      </c>
      <c r="E20" s="173">
        <v>1</v>
      </c>
      <c r="F20" s="87">
        <v>1</v>
      </c>
      <c r="G20" s="179">
        <v>1</v>
      </c>
      <c r="H20" s="109"/>
      <c r="I20" s="108">
        <v>1</v>
      </c>
      <c r="J20" s="108">
        <v>1</v>
      </c>
      <c r="K20" s="108"/>
      <c r="L20" s="108">
        <v>1</v>
      </c>
      <c r="M20" s="108"/>
      <c r="N20" s="178"/>
      <c r="O20" s="108"/>
      <c r="P20" s="176">
        <v>1</v>
      </c>
      <c r="R20" s="32"/>
      <c r="S20" s="33"/>
      <c r="T20" s="99" t="s">
        <v>87</v>
      </c>
      <c r="U20" s="99"/>
      <c r="V20" s="55"/>
      <c r="W20" s="33"/>
      <c r="X20" s="99" t="s">
        <v>87</v>
      </c>
      <c r="Y20" s="99"/>
      <c r="Z20" s="54"/>
      <c r="AA20" s="34"/>
      <c r="AB20" s="46"/>
      <c r="AC20" s="32"/>
      <c r="AD20" s="33"/>
      <c r="AE20" s="99" t="s">
        <v>87</v>
      </c>
      <c r="AF20" s="99"/>
      <c r="AG20" s="55"/>
      <c r="AH20" s="33"/>
      <c r="AI20" s="99" t="s">
        <v>87</v>
      </c>
      <c r="AJ20" s="99"/>
      <c r="AK20" s="54"/>
      <c r="AL20" s="34"/>
    </row>
    <row r="21" spans="2:38" x14ac:dyDescent="0.25">
      <c r="B21" s="86">
        <v>1</v>
      </c>
      <c r="C21" s="87">
        <v>0</v>
      </c>
      <c r="D21" s="87">
        <v>0</v>
      </c>
      <c r="E21" s="87">
        <v>0</v>
      </c>
      <c r="F21" s="87">
        <v>0</v>
      </c>
      <c r="G21" s="88"/>
      <c r="H21" s="88"/>
      <c r="I21" s="87">
        <v>1</v>
      </c>
      <c r="J21" s="87"/>
      <c r="K21" s="87">
        <v>1</v>
      </c>
      <c r="L21" s="87">
        <v>1</v>
      </c>
      <c r="M21" s="87"/>
      <c r="N21" s="87">
        <v>1</v>
      </c>
      <c r="O21" s="87"/>
      <c r="P21" s="86"/>
      <c r="R21" s="35"/>
      <c r="S21" s="32"/>
      <c r="T21" s="33"/>
      <c r="U21" s="33"/>
      <c r="V21" s="34"/>
      <c r="W21" s="33"/>
      <c r="X21" s="33"/>
      <c r="Y21" s="33"/>
      <c r="Z21" s="34"/>
      <c r="AA21" s="52"/>
      <c r="AB21" s="46"/>
      <c r="AC21" s="35"/>
      <c r="AD21" s="32"/>
      <c r="AE21" s="33"/>
      <c r="AF21" s="33"/>
      <c r="AG21" s="34"/>
      <c r="AH21" s="33"/>
      <c r="AI21" s="33"/>
      <c r="AJ21" s="33"/>
      <c r="AK21" s="34"/>
      <c r="AL21" s="52"/>
    </row>
    <row r="22" spans="2:38" x14ac:dyDescent="0.25">
      <c r="B22" s="86">
        <v>1</v>
      </c>
      <c r="C22" s="87">
        <v>0</v>
      </c>
      <c r="D22" s="87">
        <v>0</v>
      </c>
      <c r="E22" s="87">
        <v>0</v>
      </c>
      <c r="F22" s="87">
        <v>1</v>
      </c>
      <c r="G22" s="88">
        <v>1</v>
      </c>
      <c r="H22" s="88"/>
      <c r="I22" s="87">
        <v>1</v>
      </c>
      <c r="J22" s="87">
        <v>1</v>
      </c>
      <c r="K22" s="87">
        <v>1</v>
      </c>
      <c r="L22" s="87"/>
      <c r="M22" s="87"/>
      <c r="N22" s="87">
        <v>1</v>
      </c>
      <c r="O22" s="87"/>
      <c r="P22" s="86"/>
      <c r="R22" s="100" t="s">
        <v>86</v>
      </c>
      <c r="S22" s="181"/>
      <c r="T22" s="180"/>
      <c r="U22" s="180"/>
      <c r="V22" s="182"/>
      <c r="W22" s="37"/>
      <c r="X22" s="37"/>
      <c r="Y22" s="37"/>
      <c r="Z22" s="36"/>
      <c r="AA22" s="53"/>
      <c r="AB22" s="46"/>
      <c r="AC22" s="100" t="s">
        <v>86</v>
      </c>
      <c r="AD22" s="181"/>
      <c r="AE22" s="180"/>
      <c r="AF22" s="180"/>
      <c r="AG22" s="182"/>
      <c r="AH22" s="37"/>
      <c r="AI22" s="37"/>
      <c r="AJ22" s="37"/>
      <c r="AK22" s="36"/>
      <c r="AL22" s="53"/>
    </row>
    <row r="23" spans="2:38" x14ac:dyDescent="0.25">
      <c r="B23" s="86">
        <v>1</v>
      </c>
      <c r="C23" s="87">
        <v>0</v>
      </c>
      <c r="D23" s="87">
        <v>0</v>
      </c>
      <c r="E23" s="87">
        <v>1</v>
      </c>
      <c r="F23" s="87">
        <v>0</v>
      </c>
      <c r="G23" s="88"/>
      <c r="H23" s="88"/>
      <c r="I23" s="87">
        <v>1</v>
      </c>
      <c r="J23" s="87">
        <v>1</v>
      </c>
      <c r="K23" s="87">
        <v>1</v>
      </c>
      <c r="L23" s="87"/>
      <c r="M23" s="87"/>
      <c r="N23" s="87">
        <v>1</v>
      </c>
      <c r="O23" s="87"/>
      <c r="P23" s="86">
        <v>1</v>
      </c>
      <c r="R23" s="100"/>
      <c r="S23" s="181"/>
      <c r="T23" s="180"/>
      <c r="U23" s="180"/>
      <c r="V23" s="182"/>
      <c r="W23" s="37"/>
      <c r="X23" s="37"/>
      <c r="Y23" s="37"/>
      <c r="Z23" s="36"/>
      <c r="AA23" s="98" t="s">
        <v>34</v>
      </c>
      <c r="AB23" s="46"/>
      <c r="AC23" s="100"/>
      <c r="AD23" s="181"/>
      <c r="AE23" s="180"/>
      <c r="AF23" s="180"/>
      <c r="AG23" s="182"/>
      <c r="AH23" s="37"/>
      <c r="AI23" s="37"/>
      <c r="AJ23" s="37"/>
      <c r="AK23" s="36"/>
      <c r="AL23" s="98" t="s">
        <v>34</v>
      </c>
    </row>
    <row r="24" spans="2:38" x14ac:dyDescent="0.25">
      <c r="B24" s="86">
        <v>1</v>
      </c>
      <c r="C24" s="87">
        <v>0</v>
      </c>
      <c r="D24" s="87">
        <v>0</v>
      </c>
      <c r="E24" s="87">
        <v>1</v>
      </c>
      <c r="F24" s="87">
        <v>1</v>
      </c>
      <c r="G24" s="88">
        <v>1</v>
      </c>
      <c r="H24" s="88"/>
      <c r="I24" s="87">
        <v>1</v>
      </c>
      <c r="J24" s="87">
        <v>1</v>
      </c>
      <c r="K24" s="87">
        <v>1</v>
      </c>
      <c r="L24" s="87"/>
      <c r="M24" s="87"/>
      <c r="N24" s="87">
        <v>1</v>
      </c>
      <c r="O24" s="87"/>
      <c r="P24" s="86">
        <v>1</v>
      </c>
      <c r="R24" s="50"/>
      <c r="S24" s="38"/>
      <c r="T24" s="39"/>
      <c r="U24" s="39"/>
      <c r="V24" s="40"/>
      <c r="W24" s="39"/>
      <c r="X24" s="39"/>
      <c r="Y24" s="39"/>
      <c r="Z24" s="40"/>
      <c r="AA24" s="98"/>
      <c r="AB24" s="46"/>
      <c r="AC24" s="50"/>
      <c r="AD24" s="38"/>
      <c r="AE24" s="39"/>
      <c r="AF24" s="39"/>
      <c r="AG24" s="40"/>
      <c r="AH24" s="39"/>
      <c r="AI24" s="39"/>
      <c r="AJ24" s="39"/>
      <c r="AK24" s="40"/>
      <c r="AL24" s="98"/>
    </row>
    <row r="25" spans="2:38" x14ac:dyDescent="0.25">
      <c r="B25" s="86">
        <v>1</v>
      </c>
      <c r="C25" s="87">
        <v>0</v>
      </c>
      <c r="D25" s="87">
        <v>1</v>
      </c>
      <c r="E25" s="87">
        <v>0</v>
      </c>
      <c r="F25" s="87">
        <v>0</v>
      </c>
      <c r="G25" s="88"/>
      <c r="H25" s="88"/>
      <c r="I25" s="87">
        <v>1</v>
      </c>
      <c r="J25" s="87"/>
      <c r="K25" s="87">
        <v>1</v>
      </c>
      <c r="L25" s="87">
        <v>1</v>
      </c>
      <c r="M25" s="87"/>
      <c r="N25" s="87">
        <v>1</v>
      </c>
      <c r="O25" s="87"/>
      <c r="P25" s="86"/>
      <c r="R25" s="35"/>
      <c r="S25" s="37"/>
      <c r="T25" s="2"/>
      <c r="U25" s="96" t="s">
        <v>36</v>
      </c>
      <c r="V25" s="96"/>
      <c r="W25" s="96"/>
      <c r="X25" s="96"/>
      <c r="Y25" s="2"/>
      <c r="Z25" s="37"/>
      <c r="AA25" s="36"/>
      <c r="AB25" s="46"/>
      <c r="AC25" s="35"/>
      <c r="AD25" s="37"/>
      <c r="AE25" s="2"/>
      <c r="AF25" s="96" t="s">
        <v>36</v>
      </c>
      <c r="AG25" s="96"/>
      <c r="AH25" s="96"/>
      <c r="AI25" s="96"/>
      <c r="AJ25" s="2"/>
      <c r="AK25" s="37"/>
      <c r="AL25" s="36"/>
    </row>
    <row r="26" spans="2:38" x14ac:dyDescent="0.25">
      <c r="B26" s="86">
        <v>1</v>
      </c>
      <c r="C26" s="87">
        <v>0</v>
      </c>
      <c r="D26" s="87">
        <v>1</v>
      </c>
      <c r="E26" s="87">
        <v>0</v>
      </c>
      <c r="F26" s="87">
        <v>1</v>
      </c>
      <c r="G26" s="88"/>
      <c r="H26" s="88"/>
      <c r="I26" s="87">
        <v>1</v>
      </c>
      <c r="J26" s="87"/>
      <c r="K26" s="87">
        <v>1</v>
      </c>
      <c r="L26" s="87">
        <v>1</v>
      </c>
      <c r="M26" s="87"/>
      <c r="N26" s="87">
        <v>1</v>
      </c>
      <c r="O26" s="87"/>
      <c r="P26" s="86"/>
      <c r="R26" s="51"/>
      <c r="S26" s="48"/>
      <c r="T26" s="49"/>
      <c r="U26" s="49"/>
      <c r="V26" s="48"/>
      <c r="W26" s="97" t="s">
        <v>35</v>
      </c>
      <c r="X26" s="97"/>
      <c r="Y26" s="97"/>
      <c r="Z26" s="97"/>
      <c r="AA26" s="40"/>
      <c r="AB26" s="46"/>
      <c r="AC26" s="51"/>
      <c r="AD26" s="48"/>
      <c r="AE26" s="49"/>
      <c r="AF26" s="49"/>
      <c r="AG26" s="48"/>
      <c r="AH26" s="97" t="s">
        <v>35</v>
      </c>
      <c r="AI26" s="97"/>
      <c r="AJ26" s="97"/>
      <c r="AK26" s="97"/>
      <c r="AL26" s="40"/>
    </row>
    <row r="27" spans="2:38" x14ac:dyDescent="0.25">
      <c r="B27" s="86">
        <v>1</v>
      </c>
      <c r="C27" s="87">
        <v>0</v>
      </c>
      <c r="D27" s="87">
        <v>1</v>
      </c>
      <c r="E27" s="87">
        <v>1</v>
      </c>
      <c r="F27" s="87">
        <v>0</v>
      </c>
      <c r="G27" s="88"/>
      <c r="H27" s="88"/>
      <c r="I27" s="87">
        <v>1</v>
      </c>
      <c r="J27" s="87">
        <v>1</v>
      </c>
      <c r="K27" s="87">
        <v>1</v>
      </c>
      <c r="L27" s="87"/>
      <c r="M27" s="87"/>
      <c r="N27" s="87">
        <v>1</v>
      </c>
      <c r="O27" s="87"/>
      <c r="P27" s="86">
        <v>1</v>
      </c>
      <c r="R27" s="31"/>
      <c r="S27" s="31"/>
      <c r="T27" s="31"/>
      <c r="U27" s="31"/>
      <c r="V27" s="74" t="s">
        <v>25</v>
      </c>
      <c r="W27" s="31"/>
      <c r="X27" s="31"/>
      <c r="Y27" s="31"/>
      <c r="Z27" s="31"/>
      <c r="AA27" s="31"/>
      <c r="AB27" s="46"/>
      <c r="AC27" s="31"/>
      <c r="AD27" s="31"/>
      <c r="AE27" s="31"/>
      <c r="AF27" s="31"/>
      <c r="AG27" s="74" t="s">
        <v>30</v>
      </c>
      <c r="AH27" s="31"/>
      <c r="AI27" s="31"/>
      <c r="AJ27" s="31"/>
      <c r="AK27" s="31"/>
      <c r="AL27" s="31"/>
    </row>
    <row r="28" spans="2:38" x14ac:dyDescent="0.25">
      <c r="B28" s="86">
        <v>1</v>
      </c>
      <c r="C28" s="87">
        <v>0</v>
      </c>
      <c r="D28" s="87">
        <v>1</v>
      </c>
      <c r="E28" s="87">
        <v>1</v>
      </c>
      <c r="F28" s="87">
        <v>1</v>
      </c>
      <c r="G28" s="88">
        <v>1</v>
      </c>
      <c r="H28" s="88"/>
      <c r="I28" s="87">
        <v>1</v>
      </c>
      <c r="J28" s="87">
        <v>1</v>
      </c>
      <c r="K28" s="87">
        <v>1</v>
      </c>
      <c r="L28" s="87"/>
      <c r="M28" s="87"/>
      <c r="N28" s="87">
        <v>1</v>
      </c>
      <c r="O28" s="87"/>
      <c r="P28" s="86">
        <v>1</v>
      </c>
      <c r="R28" s="32"/>
      <c r="S28" s="33"/>
      <c r="T28" s="99" t="s">
        <v>87</v>
      </c>
      <c r="U28" s="99"/>
      <c r="V28" s="55"/>
      <c r="W28" s="33"/>
      <c r="X28" s="99" t="s">
        <v>87</v>
      </c>
      <c r="Y28" s="99"/>
      <c r="Z28" s="54"/>
      <c r="AA28" s="34"/>
      <c r="AB28" s="46"/>
      <c r="AC28" s="32"/>
      <c r="AD28" s="33"/>
      <c r="AE28" s="99" t="s">
        <v>87</v>
      </c>
      <c r="AF28" s="99"/>
      <c r="AG28" s="55"/>
      <c r="AH28" s="33"/>
      <c r="AI28" s="99" t="s">
        <v>87</v>
      </c>
      <c r="AJ28" s="99"/>
      <c r="AK28" s="54"/>
      <c r="AL28" s="34"/>
    </row>
    <row r="29" spans="2:38" x14ac:dyDescent="0.25">
      <c r="B29" s="86">
        <v>1</v>
      </c>
      <c r="C29" s="173">
        <v>1</v>
      </c>
      <c r="D29" s="87">
        <v>0</v>
      </c>
      <c r="E29" s="87">
        <v>0</v>
      </c>
      <c r="F29" s="87">
        <v>0</v>
      </c>
      <c r="G29" s="88"/>
      <c r="H29" s="88"/>
      <c r="I29" s="87">
        <v>1</v>
      </c>
      <c r="J29" s="87">
        <v>1</v>
      </c>
      <c r="K29" s="87">
        <v>1</v>
      </c>
      <c r="L29" s="87"/>
      <c r="M29" s="87"/>
      <c r="N29" s="87">
        <v>1</v>
      </c>
      <c r="O29" s="87"/>
      <c r="P29" s="86"/>
      <c r="R29" s="35"/>
      <c r="S29" s="32"/>
      <c r="T29" s="33"/>
      <c r="U29" s="33"/>
      <c r="V29" s="34"/>
      <c r="W29" s="33"/>
      <c r="X29" s="33"/>
      <c r="Y29" s="33"/>
      <c r="Z29" s="34"/>
      <c r="AA29" s="52"/>
      <c r="AB29" s="46"/>
      <c r="AC29" s="35"/>
      <c r="AD29" s="32"/>
      <c r="AE29" s="33"/>
      <c r="AF29" s="33"/>
      <c r="AG29" s="34"/>
      <c r="AH29" s="33"/>
      <c r="AI29" s="33"/>
      <c r="AJ29" s="33"/>
      <c r="AK29" s="34"/>
      <c r="AL29" s="52"/>
    </row>
    <row r="30" spans="2:38" x14ac:dyDescent="0.25">
      <c r="B30" s="86">
        <v>1</v>
      </c>
      <c r="C30" s="173">
        <v>1</v>
      </c>
      <c r="D30" s="87">
        <v>0</v>
      </c>
      <c r="E30" s="87">
        <v>0</v>
      </c>
      <c r="F30" s="87">
        <v>1</v>
      </c>
      <c r="G30" s="88">
        <v>1</v>
      </c>
      <c r="H30" s="88"/>
      <c r="I30" s="87">
        <v>1</v>
      </c>
      <c r="J30" s="87">
        <v>1</v>
      </c>
      <c r="K30" s="87">
        <v>1</v>
      </c>
      <c r="L30" s="87"/>
      <c r="M30" s="87"/>
      <c r="N30" s="87">
        <v>1</v>
      </c>
      <c r="O30" s="87"/>
      <c r="P30" s="86"/>
      <c r="R30" s="100" t="s">
        <v>86</v>
      </c>
      <c r="S30" s="181"/>
      <c r="T30" s="180"/>
      <c r="U30" s="180"/>
      <c r="V30" s="182"/>
      <c r="W30" s="37"/>
      <c r="X30" s="37"/>
      <c r="Y30" s="37"/>
      <c r="Z30" s="36"/>
      <c r="AA30" s="53"/>
      <c r="AB30" s="46"/>
      <c r="AC30" s="100" t="s">
        <v>86</v>
      </c>
      <c r="AD30" s="181"/>
      <c r="AE30" s="180"/>
      <c r="AF30" s="180"/>
      <c r="AG30" s="182"/>
      <c r="AH30" s="37"/>
      <c r="AI30" s="37"/>
      <c r="AJ30" s="37"/>
      <c r="AK30" s="36"/>
      <c r="AL30" s="53"/>
    </row>
    <row r="31" spans="2:38" x14ac:dyDescent="0.25">
      <c r="B31" s="86">
        <v>1</v>
      </c>
      <c r="C31" s="173">
        <v>1</v>
      </c>
      <c r="D31" s="87">
        <v>0</v>
      </c>
      <c r="E31" s="173">
        <v>1</v>
      </c>
      <c r="F31" s="87">
        <v>0</v>
      </c>
      <c r="G31" s="177"/>
      <c r="H31" s="88"/>
      <c r="I31" s="87">
        <v>1</v>
      </c>
      <c r="J31" s="87">
        <v>1</v>
      </c>
      <c r="K31" s="87">
        <v>1</v>
      </c>
      <c r="L31" s="87"/>
      <c r="M31" s="87"/>
      <c r="N31" s="172">
        <v>1</v>
      </c>
      <c r="O31" s="87"/>
      <c r="P31" s="175">
        <v>1</v>
      </c>
      <c r="R31" s="100"/>
      <c r="S31" s="181"/>
      <c r="T31" s="180"/>
      <c r="U31" s="180"/>
      <c r="V31" s="182"/>
      <c r="W31" s="37"/>
      <c r="X31" s="37"/>
      <c r="Y31" s="37"/>
      <c r="Z31" s="36"/>
      <c r="AA31" s="98" t="s">
        <v>34</v>
      </c>
      <c r="AB31" s="46"/>
      <c r="AC31" s="100"/>
      <c r="AD31" s="181"/>
      <c r="AE31" s="180"/>
      <c r="AF31" s="180"/>
      <c r="AG31" s="182"/>
      <c r="AH31" s="37"/>
      <c r="AI31" s="37"/>
      <c r="AJ31" s="37"/>
      <c r="AK31" s="36"/>
      <c r="AL31" s="98" t="s">
        <v>34</v>
      </c>
    </row>
    <row r="32" spans="2:38" x14ac:dyDescent="0.25">
      <c r="B32" s="86">
        <v>1</v>
      </c>
      <c r="C32" s="173">
        <v>1</v>
      </c>
      <c r="D32" s="87">
        <v>0</v>
      </c>
      <c r="E32" s="173">
        <v>1</v>
      </c>
      <c r="F32" s="87">
        <v>1</v>
      </c>
      <c r="G32" s="177">
        <v>1</v>
      </c>
      <c r="H32" s="88"/>
      <c r="I32" s="87">
        <v>1</v>
      </c>
      <c r="J32" s="87">
        <v>1</v>
      </c>
      <c r="K32" s="87">
        <v>1</v>
      </c>
      <c r="L32" s="87"/>
      <c r="M32" s="87"/>
      <c r="N32" s="172"/>
      <c r="O32" s="87"/>
      <c r="P32" s="175">
        <v>1</v>
      </c>
      <c r="R32" s="50"/>
      <c r="S32" s="38"/>
      <c r="T32" s="39"/>
      <c r="U32" s="39"/>
      <c r="V32" s="40"/>
      <c r="W32" s="39"/>
      <c r="X32" s="39"/>
      <c r="Y32" s="39"/>
      <c r="Z32" s="40"/>
      <c r="AA32" s="98"/>
      <c r="AB32" s="46"/>
      <c r="AC32" s="50"/>
      <c r="AD32" s="38"/>
      <c r="AE32" s="39"/>
      <c r="AF32" s="39"/>
      <c r="AG32" s="40"/>
      <c r="AH32" s="39"/>
      <c r="AI32" s="39"/>
      <c r="AJ32" s="39"/>
      <c r="AK32" s="40"/>
      <c r="AL32" s="98"/>
    </row>
    <row r="33" spans="2:38" x14ac:dyDescent="0.25">
      <c r="B33" s="86">
        <v>1</v>
      </c>
      <c r="C33" s="173">
        <v>1</v>
      </c>
      <c r="D33" s="87">
        <v>1</v>
      </c>
      <c r="E33" s="87">
        <v>0</v>
      </c>
      <c r="F33" s="87">
        <v>0</v>
      </c>
      <c r="G33" s="88"/>
      <c r="H33" s="88">
        <v>1</v>
      </c>
      <c r="I33" s="87"/>
      <c r="J33" s="87">
        <v>1</v>
      </c>
      <c r="K33" s="87"/>
      <c r="L33" s="87"/>
      <c r="M33" s="87"/>
      <c r="N33" s="87">
        <v>1</v>
      </c>
      <c r="O33" s="87"/>
      <c r="P33" s="86"/>
      <c r="R33" s="35"/>
      <c r="S33" s="37"/>
      <c r="T33" s="2"/>
      <c r="U33" s="96" t="s">
        <v>36</v>
      </c>
      <c r="V33" s="96"/>
      <c r="W33" s="96"/>
      <c r="X33" s="96"/>
      <c r="Y33" s="2"/>
      <c r="Z33" s="37"/>
      <c r="AA33" s="36"/>
      <c r="AB33" s="46"/>
      <c r="AC33" s="35"/>
      <c r="AD33" s="37"/>
      <c r="AE33" s="2"/>
      <c r="AF33" s="96" t="s">
        <v>36</v>
      </c>
      <c r="AG33" s="96"/>
      <c r="AH33" s="96"/>
      <c r="AI33" s="96"/>
      <c r="AJ33" s="2"/>
      <c r="AK33" s="37"/>
      <c r="AL33" s="36"/>
    </row>
    <row r="34" spans="2:38" x14ac:dyDescent="0.25">
      <c r="B34" s="86">
        <v>1</v>
      </c>
      <c r="C34" s="173">
        <v>1</v>
      </c>
      <c r="D34" s="87">
        <v>1</v>
      </c>
      <c r="E34" s="87">
        <v>0</v>
      </c>
      <c r="F34" s="87">
        <v>1</v>
      </c>
      <c r="G34" s="88"/>
      <c r="H34" s="88">
        <v>1</v>
      </c>
      <c r="I34" s="87"/>
      <c r="J34" s="87">
        <v>1</v>
      </c>
      <c r="K34" s="87"/>
      <c r="L34" s="87"/>
      <c r="M34" s="87">
        <v>1</v>
      </c>
      <c r="N34" s="87">
        <v>1</v>
      </c>
      <c r="O34" s="87"/>
      <c r="P34" s="86"/>
      <c r="R34" s="51"/>
      <c r="S34" s="48"/>
      <c r="T34" s="49"/>
      <c r="U34" s="49"/>
      <c r="V34" s="48"/>
      <c r="W34" s="97" t="s">
        <v>35</v>
      </c>
      <c r="X34" s="97"/>
      <c r="Y34" s="97"/>
      <c r="Z34" s="97"/>
      <c r="AA34" s="40"/>
      <c r="AB34" s="46"/>
      <c r="AC34" s="51"/>
      <c r="AD34" s="48"/>
      <c r="AE34" s="49"/>
      <c r="AF34" s="49"/>
      <c r="AG34" s="48"/>
      <c r="AH34" s="97" t="s">
        <v>35</v>
      </c>
      <c r="AI34" s="97"/>
      <c r="AJ34" s="97"/>
      <c r="AK34" s="97"/>
      <c r="AL34" s="40"/>
    </row>
    <row r="35" spans="2:38" ht="15.75" thickBot="1" x14ac:dyDescent="0.3">
      <c r="B35" s="86">
        <v>1</v>
      </c>
      <c r="C35" s="173">
        <v>1</v>
      </c>
      <c r="D35" s="87">
        <v>1</v>
      </c>
      <c r="E35" s="173">
        <v>1</v>
      </c>
      <c r="F35" s="87">
        <v>0</v>
      </c>
      <c r="G35" s="177"/>
      <c r="H35" s="88"/>
      <c r="I35" s="87">
        <v>1</v>
      </c>
      <c r="J35" s="87">
        <v>1</v>
      </c>
      <c r="K35" s="87"/>
      <c r="L35" s="87">
        <v>1</v>
      </c>
      <c r="M35" s="87"/>
      <c r="N35" s="172">
        <v>1</v>
      </c>
      <c r="O35" s="87"/>
      <c r="P35" s="175">
        <v>1</v>
      </c>
      <c r="R35" s="31"/>
      <c r="S35" s="31"/>
      <c r="T35" s="31"/>
      <c r="U35" s="31"/>
      <c r="V35" s="74" t="s">
        <v>26</v>
      </c>
      <c r="W35" s="31"/>
      <c r="X35" s="31"/>
      <c r="Y35" s="31"/>
      <c r="Z35" s="31"/>
      <c r="AA35" s="31"/>
      <c r="AB35" s="46"/>
      <c r="AC35" s="31"/>
      <c r="AD35" s="31"/>
      <c r="AE35" s="31"/>
      <c r="AF35" s="31"/>
      <c r="AG35" s="74" t="s">
        <v>31</v>
      </c>
      <c r="AH35" s="31"/>
      <c r="AI35" s="31"/>
      <c r="AJ35" s="31"/>
      <c r="AK35" s="31"/>
      <c r="AL35" s="31"/>
    </row>
    <row r="36" spans="2:38" x14ac:dyDescent="0.25">
      <c r="B36" s="107">
        <v>1</v>
      </c>
      <c r="C36" s="174">
        <v>1</v>
      </c>
      <c r="D36" s="108">
        <v>1</v>
      </c>
      <c r="E36" s="174">
        <v>1</v>
      </c>
      <c r="F36" s="164">
        <v>1</v>
      </c>
      <c r="G36" s="179">
        <v>1</v>
      </c>
      <c r="H36" s="109"/>
      <c r="I36" s="108">
        <v>1</v>
      </c>
      <c r="J36" s="108">
        <v>1</v>
      </c>
      <c r="K36" s="108"/>
      <c r="L36" s="108">
        <v>1</v>
      </c>
      <c r="M36" s="108"/>
      <c r="N36" s="178"/>
      <c r="O36" s="108"/>
      <c r="P36" s="176">
        <v>1</v>
      </c>
      <c r="R36" s="32"/>
      <c r="S36" s="33"/>
      <c r="T36" s="99" t="s">
        <v>87</v>
      </c>
      <c r="U36" s="99"/>
      <c r="V36" s="55"/>
      <c r="W36" s="33"/>
      <c r="X36" s="99" t="s">
        <v>87</v>
      </c>
      <c r="Y36" s="99"/>
      <c r="Z36" s="54"/>
      <c r="AA36" s="34"/>
      <c r="AB36" s="46"/>
      <c r="AC36" s="32"/>
      <c r="AD36" s="33"/>
      <c r="AE36" s="99" t="s">
        <v>87</v>
      </c>
      <c r="AF36" s="99"/>
      <c r="AG36" s="55"/>
      <c r="AH36" s="33"/>
      <c r="AI36" s="99" t="s">
        <v>87</v>
      </c>
      <c r="AJ36" s="99"/>
      <c r="AK36" s="72"/>
      <c r="AL36" s="34"/>
    </row>
    <row r="37" spans="2:38" x14ac:dyDescent="0.25">
      <c r="R37" s="35"/>
      <c r="S37" s="32"/>
      <c r="T37" s="33"/>
      <c r="U37" s="33"/>
      <c r="V37" s="34"/>
      <c r="W37" s="33"/>
      <c r="X37" s="33"/>
      <c r="Y37" s="33"/>
      <c r="Z37" s="34"/>
      <c r="AA37" s="52"/>
      <c r="AB37" s="46"/>
      <c r="AC37" s="35"/>
      <c r="AD37" s="32"/>
      <c r="AE37" s="33"/>
      <c r="AF37" s="33"/>
      <c r="AG37" s="34"/>
      <c r="AH37" s="33"/>
      <c r="AI37" s="33"/>
      <c r="AJ37" s="33"/>
      <c r="AK37" s="34"/>
      <c r="AL37" s="36"/>
    </row>
    <row r="38" spans="2:38" x14ac:dyDescent="0.25">
      <c r="R38" s="100" t="s">
        <v>86</v>
      </c>
      <c r="S38" s="181"/>
      <c r="T38" s="180"/>
      <c r="U38" s="180"/>
      <c r="V38" s="182"/>
      <c r="W38" s="37"/>
      <c r="X38" s="37"/>
      <c r="Y38" s="37"/>
      <c r="Z38" s="36"/>
      <c r="AA38" s="53"/>
      <c r="AB38" s="46"/>
      <c r="AC38" s="100" t="s">
        <v>86</v>
      </c>
      <c r="AD38" s="181"/>
      <c r="AE38" s="180"/>
      <c r="AF38" s="180"/>
      <c r="AG38" s="182"/>
      <c r="AH38" s="37"/>
      <c r="AI38" s="37"/>
      <c r="AJ38" s="37"/>
      <c r="AK38" s="36"/>
      <c r="AL38" s="53"/>
    </row>
    <row r="39" spans="2:38" x14ac:dyDescent="0.25">
      <c r="R39" s="100"/>
      <c r="S39" s="181"/>
      <c r="T39" s="180"/>
      <c r="U39" s="180"/>
      <c r="V39" s="182"/>
      <c r="W39" s="37"/>
      <c r="X39" s="37"/>
      <c r="Y39" s="37"/>
      <c r="Z39" s="36"/>
      <c r="AA39" s="98" t="s">
        <v>34</v>
      </c>
      <c r="AB39" s="46"/>
      <c r="AC39" s="100"/>
      <c r="AD39" s="181"/>
      <c r="AE39" s="180"/>
      <c r="AF39" s="180"/>
      <c r="AG39" s="182"/>
      <c r="AH39" s="37"/>
      <c r="AI39" s="37"/>
      <c r="AJ39" s="37"/>
      <c r="AK39" s="36"/>
      <c r="AL39" s="98" t="s">
        <v>34</v>
      </c>
    </row>
    <row r="40" spans="2:38" x14ac:dyDescent="0.25">
      <c r="R40" s="50"/>
      <c r="S40" s="38"/>
      <c r="T40" s="39"/>
      <c r="U40" s="39"/>
      <c r="V40" s="40"/>
      <c r="W40" s="39"/>
      <c r="X40" s="39"/>
      <c r="Y40" s="39"/>
      <c r="Z40" s="40"/>
      <c r="AA40" s="98"/>
      <c r="AB40" s="46"/>
      <c r="AC40" s="50"/>
      <c r="AD40" s="38"/>
      <c r="AE40" s="39"/>
      <c r="AF40" s="39"/>
      <c r="AG40" s="40"/>
      <c r="AH40" s="39"/>
      <c r="AI40" s="39"/>
      <c r="AJ40" s="39"/>
      <c r="AK40" s="40"/>
      <c r="AL40" s="101"/>
    </row>
    <row r="41" spans="2:38" ht="15.75" thickBot="1" x14ac:dyDescent="0.3">
      <c r="R41" s="35"/>
      <c r="S41" s="37"/>
      <c r="T41" s="2"/>
      <c r="U41" s="96" t="s">
        <v>36</v>
      </c>
      <c r="V41" s="96"/>
      <c r="W41" s="96"/>
      <c r="X41" s="96"/>
      <c r="Y41" s="2"/>
      <c r="Z41" s="37"/>
      <c r="AA41" s="36"/>
      <c r="AB41" s="46"/>
      <c r="AC41" s="35"/>
      <c r="AD41" s="37"/>
      <c r="AE41" s="2"/>
      <c r="AF41" s="96" t="s">
        <v>36</v>
      </c>
      <c r="AG41" s="96"/>
      <c r="AH41" s="96"/>
      <c r="AI41" s="96"/>
      <c r="AJ41" s="2"/>
      <c r="AK41" s="73"/>
      <c r="AL41" s="36"/>
    </row>
    <row r="42" spans="2:38" x14ac:dyDescent="0.25">
      <c r="R42" s="51"/>
      <c r="S42" s="48"/>
      <c r="T42" s="49"/>
      <c r="U42" s="49"/>
      <c r="V42" s="48"/>
      <c r="W42" s="97" t="s">
        <v>35</v>
      </c>
      <c r="X42" s="97"/>
      <c r="Y42" s="97"/>
      <c r="Z42" s="97"/>
      <c r="AA42" s="40"/>
      <c r="AB42" s="46"/>
      <c r="AC42" s="51"/>
      <c r="AD42" s="48"/>
      <c r="AE42" s="49"/>
      <c r="AF42" s="49"/>
      <c r="AG42" s="48"/>
      <c r="AH42" s="97" t="s">
        <v>35</v>
      </c>
      <c r="AI42" s="97"/>
      <c r="AJ42" s="97"/>
      <c r="AK42" s="97"/>
      <c r="AL42" s="40"/>
    </row>
  </sheetData>
  <mergeCells count="60">
    <mergeCell ref="U41:X41"/>
    <mergeCell ref="AF41:AI41"/>
    <mergeCell ref="W42:Z42"/>
    <mergeCell ref="AH42:AK42"/>
    <mergeCell ref="U33:X33"/>
    <mergeCell ref="AF33:AI33"/>
    <mergeCell ref="W34:Z34"/>
    <mergeCell ref="AH34:AK34"/>
    <mergeCell ref="T36:U36"/>
    <mergeCell ref="X36:Y36"/>
    <mergeCell ref="AE36:AF36"/>
    <mergeCell ref="AI36:AJ36"/>
    <mergeCell ref="U25:X25"/>
    <mergeCell ref="AF25:AI25"/>
    <mergeCell ref="W26:Z26"/>
    <mergeCell ref="AH26:AK26"/>
    <mergeCell ref="T28:U28"/>
    <mergeCell ref="X28:Y28"/>
    <mergeCell ref="AE28:AF28"/>
    <mergeCell ref="AI28:AJ28"/>
    <mergeCell ref="U17:X17"/>
    <mergeCell ref="AF17:AI17"/>
    <mergeCell ref="W18:Z18"/>
    <mergeCell ref="AH18:AK18"/>
    <mergeCell ref="T20:U20"/>
    <mergeCell ref="X20:Y20"/>
    <mergeCell ref="AE20:AF20"/>
    <mergeCell ref="AI20:AJ20"/>
    <mergeCell ref="W10:Z10"/>
    <mergeCell ref="AH10:AK10"/>
    <mergeCell ref="T12:U12"/>
    <mergeCell ref="X12:Y12"/>
    <mergeCell ref="AE12:AF12"/>
    <mergeCell ref="AI12:AJ12"/>
    <mergeCell ref="T4:U4"/>
    <mergeCell ref="X4:Y4"/>
    <mergeCell ref="AE4:AF4"/>
    <mergeCell ref="AI4:AJ4"/>
    <mergeCell ref="AC6:AC7"/>
    <mergeCell ref="AA7:AA8"/>
    <mergeCell ref="U9:X9"/>
    <mergeCell ref="AF9:AI9"/>
    <mergeCell ref="R38:R39"/>
    <mergeCell ref="AC38:AC39"/>
    <mergeCell ref="AA39:AA40"/>
    <mergeCell ref="AL39:AL40"/>
    <mergeCell ref="R30:R31"/>
    <mergeCell ref="AC30:AC31"/>
    <mergeCell ref="AA31:AA32"/>
    <mergeCell ref="AL31:AL32"/>
    <mergeCell ref="R22:R23"/>
    <mergeCell ref="AC22:AC23"/>
    <mergeCell ref="AA23:AA24"/>
    <mergeCell ref="AL23:AL24"/>
    <mergeCell ref="R14:R15"/>
    <mergeCell ref="AC14:AC15"/>
    <mergeCell ref="AA15:AA16"/>
    <mergeCell ref="AL15:AL16"/>
    <mergeCell ref="AL7:AL8"/>
    <mergeCell ref="R6:R7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Hitch</dc:creator>
  <cp:lastModifiedBy>Hitch</cp:lastModifiedBy>
  <dcterms:created xsi:type="dcterms:W3CDTF">2016-06-15T16:03:48Z</dcterms:created>
  <dcterms:modified xsi:type="dcterms:W3CDTF">2016-06-16T23:30:02Z</dcterms:modified>
</cp:coreProperties>
</file>
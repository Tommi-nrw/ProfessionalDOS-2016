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4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V1.24'!$A$2:$AE$226</definedName>
    <definedName name="ProfDosV5D_Truth_Table" localSheetId="3">'Truth-Table V1.24'!$B$1:$Y$2</definedName>
  </definedNames>
  <calcPr calcId="145621"/>
</workbook>
</file>

<file path=xl/calcChain.xml><?xml version="1.0" encoding="utf-8"?>
<calcChain xmlns="http://schemas.openxmlformats.org/spreadsheetml/2006/main">
  <c r="AG98" i="10" l="1"/>
  <c r="AG97" i="10"/>
  <c r="AG96" i="10"/>
  <c r="AG95" i="10"/>
  <c r="AG94" i="10"/>
  <c r="AG93" i="10"/>
  <c r="AG92" i="10"/>
  <c r="AG91" i="10"/>
  <c r="AG90" i="10"/>
  <c r="AG89" i="10"/>
  <c r="AG88" i="10"/>
  <c r="AG87" i="10"/>
  <c r="AG86" i="10"/>
  <c r="AG85" i="10"/>
  <c r="AG84" i="10"/>
  <c r="AG83" i="10"/>
  <c r="AG82" i="10"/>
  <c r="AG81" i="10"/>
  <c r="AG80" i="10"/>
  <c r="AG79" i="10"/>
  <c r="AG78" i="10"/>
  <c r="AG77" i="10"/>
  <c r="AG76" i="10"/>
  <c r="AG75" i="10"/>
  <c r="AG74" i="10"/>
  <c r="AG73" i="10"/>
  <c r="AG72" i="10"/>
  <c r="AG71" i="10"/>
  <c r="AG70" i="10"/>
  <c r="AG69" i="10"/>
  <c r="AG68" i="10"/>
  <c r="AG67" i="10"/>
  <c r="AG194" i="10" l="1"/>
  <c r="AG193" i="10"/>
  <c r="AG192" i="10"/>
  <c r="AG191" i="10"/>
  <c r="AG190" i="10"/>
  <c r="AG189" i="10"/>
  <c r="AG188" i="10"/>
  <c r="AG187" i="10"/>
  <c r="AG186" i="10"/>
  <c r="AG185" i="10"/>
  <c r="AG184" i="10"/>
  <c r="AG183" i="10"/>
  <c r="AG182" i="10"/>
  <c r="AG181" i="10"/>
  <c r="AG180" i="10"/>
  <c r="AG179" i="10"/>
  <c r="AG178" i="10"/>
  <c r="AG177" i="10"/>
  <c r="AG176" i="10"/>
  <c r="AG175" i="10"/>
  <c r="AG174" i="10"/>
  <c r="AG173" i="10"/>
  <c r="AG172" i="10"/>
  <c r="AG171" i="10"/>
  <c r="AG170" i="10"/>
  <c r="AG169" i="10"/>
  <c r="AG168" i="10"/>
  <c r="AG167" i="10"/>
  <c r="AG166" i="10"/>
  <c r="AG165" i="10"/>
  <c r="AG164" i="10"/>
  <c r="AG163" i="10"/>
  <c r="AG162" i="10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<sst xmlns="http://schemas.openxmlformats.org/spreadsheetml/2006/main" count="4669" uniqueCount="341">
  <si>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</si>
  <si>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</si>
  <si>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</si>
  <si>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</si>
  <si>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</si>
  <si>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</si>
  <si>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</si>
  <si>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</si>
  <si>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</si>
  <si>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</si>
  <si>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</si>
  <si>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</si>
  <si>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</si>
  <si>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</si>
  <si>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</si>
  <si>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</si>
  <si>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</si>
  <si>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</si>
  <si>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</si>
  <si>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</si>
  <si>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</si>
  <si>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</si>
  <si>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</si>
  <si>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</si>
  <si>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</si>
  <si>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</si>
  <si>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</si>
  <si>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</si>
  <si>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</si>
  <si>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</si>
  <si>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</si>
  <si>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</si>
  <si>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</si>
  <si>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</si>
  <si>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</si>
  <si>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</si>
  <si>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</si>
  <si>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</si>
  <si>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</si>
  <si>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</si>
  <si>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</si>
  <si>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</si>
  <si>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</si>
  <si>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</si>
  <si>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</si>
  <si>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</si>
  <si>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</si>
  <si>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</si>
  <si>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</si>
  <si>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</si>
  <si>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</si>
  <si>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</si>
  <si>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</si>
  <si>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</si>
  <si>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</si>
  <si>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</si>
  <si>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</si>
  <si>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</si>
  <si>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</si>
  <si>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</si>
  <si>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</si>
  <si>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</si>
  <si>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</si>
  <si>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</si>
  <si>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</si>
  <si>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</si>
  <si>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</si>
  <si>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</si>
  <si>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</si>
  <si>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</si>
  <si>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</si>
  <si>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</si>
  <si>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</si>
  <si>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</si>
  <si>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</si>
  <si>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</si>
  <si>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</si>
  <si>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</si>
  <si>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</si>
  <si>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</si>
  <si>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</si>
  <si>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</si>
  <si>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</si>
  <si>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</si>
  <si>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</si>
  <si>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</si>
  <si>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</si>
  <si>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</si>
  <si>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</si>
  <si>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</si>
  <si>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</si>
  <si>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</si>
  <si>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</si>
  <si>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</si>
  <si>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</si>
  <si>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</si>
  <si>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</si>
  <si>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</si>
  <si>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</si>
  <si>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</si>
  <si>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</si>
  <si>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</si>
  <si>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</si>
  <si>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</si>
  <si>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</si>
  <si>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</si>
  <si>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</si>
  <si>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</si>
  <si>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</si>
  <si>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</si>
  <si>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</si>
  <si>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</si>
  <si>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</si>
  <si>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</si>
  <si>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</si>
  <si>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</si>
  <si>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</si>
  <si>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</si>
  <si>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</si>
  <si>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</si>
  <si>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</si>
  <si>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</si>
  <si>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</si>
  <si>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</si>
  <si>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</si>
  <si>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</si>
  <si>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</si>
  <si>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</si>
  <si>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</si>
  <si>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</si>
  <si>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</si>
  <si>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</si>
  <si>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</si>
  <si>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</si>
  <si>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</si>
  <si>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</si>
  <si>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</si>
  <si>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</si>
  <si>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</si>
  <si>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</si>
  <si>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</si>
  <si>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</si>
  <si>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</si>
  <si>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</si>
  <si>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</si>
  <si>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</si>
  <si>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</si>
  <si>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</si>
  <si>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</si>
  <si>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</si>
  <si>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</si>
  <si>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</si>
  <si>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</si>
  <si>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</si>
  <si>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</si>
  <si>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</si>
  <si>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</si>
  <si>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</si>
  <si>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</si>
  <si>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</si>
  <si>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</si>
  <si>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</si>
  <si>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</si>
  <si>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</si>
  <si>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</si>
  <si>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</si>
  <si>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</si>
  <si>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</si>
  <si>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</si>
  <si>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</si>
  <si>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</si>
  <si>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</si>
  <si>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</si>
  <si>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</si>
  <si>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</si>
  <si>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</si>
  <si>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</si>
  <si>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</si>
  <si>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</si>
  <si>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</si>
  <si>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</si>
  <si>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</si>
  <si>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</si>
  <si>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</si>
  <si>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</si>
  <si>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</si>
  <si>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</si>
  <si>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</si>
  <si>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</si>
  <si>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</si>
  <si>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</si>
  <si>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</si>
  <si>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</si>
  <si>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</si>
  <si>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</si>
  <si>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</si>
  <si>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</si>
  <si>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</si>
  <si>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</si>
  <si>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</si>
  <si>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</si>
  <si>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</si>
  <si>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</si>
  <si>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</si>
  <si>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</si>
  <si>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</si>
  <si>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</si>
  <si>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</si>
  <si>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</si>
  <si>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</si>
  <si>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</si>
  <si>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</si>
  <si>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</si>
  <si>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</si>
  <si>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</si>
  <si>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</si>
  <si>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</si>
  <si>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</si>
  <si>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</si>
  <si>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</si>
  <si>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</si>
  <si>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</si>
  <si>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</si>
  <si>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</si>
  <si>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</si>
  <si>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</si>
  <si>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</si>
  <si>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</si>
  <si>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</si>
  <si>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</si>
  <si>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</si>
  <si>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</si>
  <si>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</si>
  <si>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</si>
  <si>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</si>
  <si>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</si>
  <si>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</si>
  <si>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</si>
  <si>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</si>
  <si>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</si>
  <si>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</si>
  <si>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</si>
  <si>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</si>
  <si>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</si>
  <si>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</si>
  <si>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</si>
  <si>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</si>
  <si>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</si>
  <si>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</si>
  <si>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</si>
  <si>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</si>
  <si>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</si>
  <si>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</si>
  <si>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</si>
  <si>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</si>
  <si>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</si>
  <si>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</si>
  <si>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</si>
  <si>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</si>
  <si>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</si>
  <si>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</si>
  <si>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</si>
  <si>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</si>
  <si>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</si>
  <si>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</si>
  <si>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Dolphin</t>
  </si>
  <si>
    <t>DolphinDOS RAM</t>
  </si>
  <si>
    <t>DolphinDOS HiRom (C000)</t>
  </si>
  <si>
    <t>DolphinDOS LoRom (A000)</t>
  </si>
  <si>
    <t>DolphinDOS Dos-Extension (8000)</t>
  </si>
  <si>
    <t>Low-Rom auf ProfDos</t>
  </si>
  <si>
    <t>Speeddos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</si>
  <si>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</si>
  <si>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</si>
  <si>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</si>
  <si>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</si>
  <si>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</si>
  <si>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</si>
  <si>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</si>
  <si>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</si>
  <si>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</si>
  <si>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</si>
  <si>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</si>
  <si>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</si>
  <si>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</si>
  <si>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</si>
  <si>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</si>
  <si>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</si>
  <si>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</si>
  <si>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</si>
  <si>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</si>
  <si>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</si>
  <si>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</si>
  <si>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</si>
  <si>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</si>
  <si>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</si>
  <si>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</si>
  <si>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</si>
  <si>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</si>
  <si>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</si>
  <si>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</si>
  <si>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</si>
  <si>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</si>
  <si>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</si>
  <si>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</si>
  <si>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</si>
  <si>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</si>
  <si>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</si>
  <si>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</si>
  <si>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</si>
  <si>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</si>
  <si>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</si>
  <si>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</si>
  <si>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</si>
  <si>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</si>
  <si>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</si>
  <si>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</si>
  <si>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</si>
  <si>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</si>
  <si>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</si>
  <si>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</si>
  <si>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</si>
  <si>
    <t>PrologicDos Jann Dat.</t>
  </si>
  <si>
    <t>Kopie
$0000-$07FF</t>
  </si>
  <si>
    <t>6k RAM</t>
  </si>
  <si>
    <t>VIA 6821</t>
  </si>
  <si>
    <t>6k Hi-ROM
Prologic-DOS</t>
  </si>
  <si>
    <t>2k ROM umsch. 35/40 T</t>
  </si>
  <si>
    <t>6k Prologic-DOS
ROM</t>
  </si>
  <si>
    <t>Prol.Dos Classic 1541C</t>
  </si>
  <si>
    <t>???</t>
  </si>
  <si>
    <t>Original 1:1</t>
  </si>
  <si>
    <t>Codierung 1:1</t>
  </si>
  <si>
    <t>leer geblendet</t>
  </si>
  <si>
    <t>RAM ProfDos</t>
  </si>
  <si>
    <t>Ram OnBoard</t>
  </si>
  <si>
    <t>Ram ProfDos</t>
  </si>
  <si>
    <t>Ram OnBoard (DolphinDOS braucht untere 2k vom Ram selbst)</t>
  </si>
  <si>
    <t>Low-Rom auf dem Board bei high = 0 wenn low = 1!</t>
  </si>
  <si>
    <t xml:space="preserve">Low-Rom auf ProfDos bei  high = 0  wenn low = 0! </t>
  </si>
  <si>
    <t>Zusatz-PIA
6821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</si>
</sst>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6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5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16" borderId="50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7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7" borderId="30" xfId="0" applyFont="1" applyFill="1" applyBorder="1"/>
    <xf numFmtId="0" fontId="3" fillId="17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8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vertical="center" wrapText="1"/>
    </xf>
    <xf numFmtId="0" fontId="0" fillId="0" borderId="51" xfId="0" applyFill="1" applyBorder="1"/>
    <xf numFmtId="1" fontId="0" fillId="6" borderId="51" xfId="0" applyNumberFormat="1" applyFill="1" applyBorder="1" applyAlignment="1">
      <alignment horizontal="left"/>
    </xf>
    <xf numFmtId="0" fontId="0" fillId="6" borderId="32" xfId="0" applyFill="1" applyBorder="1"/>
    <xf numFmtId="0" fontId="0" fillId="6" borderId="54" xfId="0" applyFill="1" applyBorder="1"/>
    <xf numFmtId="0" fontId="0" fillId="6" borderId="51" xfId="0" applyFill="1" applyBorder="1"/>
    <xf numFmtId="20" fontId="0" fillId="6" borderId="51" xfId="0" applyNumberFormat="1" applyFill="1" applyBorder="1" applyAlignment="1">
      <alignment horizontal="left"/>
    </xf>
    <xf numFmtId="1" fontId="0" fillId="3" borderId="45" xfId="0" applyNumberFormat="1" applyFill="1" applyBorder="1" applyAlignment="1">
      <alignment horizontal="left"/>
    </xf>
    <xf numFmtId="0" fontId="0" fillId="3" borderId="47" xfId="0" applyFill="1" applyBorder="1"/>
    <xf numFmtId="0" fontId="0" fillId="3" borderId="49" xfId="0" applyFill="1" applyBorder="1"/>
    <xf numFmtId="1" fontId="0" fillId="5" borderId="43" xfId="0" applyNumberFormat="1" applyFill="1" applyBorder="1" applyAlignment="1">
      <alignment horizontal="left"/>
    </xf>
    <xf numFmtId="1" fontId="0" fillId="6" borderId="45" xfId="0" applyNumberFormat="1" applyFill="1" applyBorder="1" applyAlignment="1">
      <alignment horizontal="left"/>
    </xf>
    <xf numFmtId="0" fontId="0" fillId="6" borderId="47" xfId="0" applyFill="1" applyBorder="1"/>
    <xf numFmtId="0" fontId="0" fillId="6" borderId="46" xfId="0" applyFill="1" applyBorder="1"/>
    <xf numFmtId="1" fontId="0" fillId="6" borderId="46" xfId="0" applyNumberFormat="1" applyFill="1" applyBorder="1" applyAlignment="1">
      <alignment horizontal="left"/>
    </xf>
    <xf numFmtId="0" fontId="0" fillId="6" borderId="46" xfId="0" applyFill="1" applyBorder="1" applyAlignment="1">
      <alignment vertical="center"/>
    </xf>
    <xf numFmtId="0" fontId="0" fillId="6" borderId="49" xfId="0" applyFill="1" applyBorder="1"/>
    <xf numFmtId="1" fontId="0" fillId="4" borderId="45" xfId="0" applyNumberFormat="1" applyFill="1" applyBorder="1" applyAlignment="1">
      <alignment horizontal="left"/>
    </xf>
    <xf numFmtId="0" fontId="0" fillId="4" borderId="47" xfId="0" applyFill="1" applyBorder="1"/>
    <xf numFmtId="0" fontId="0" fillId="4" borderId="49" xfId="0" applyFill="1" applyBorder="1"/>
    <xf numFmtId="1" fontId="0" fillId="2" borderId="45" xfId="0" applyNumberFormat="1" applyFill="1" applyBorder="1" applyAlignment="1">
      <alignment horizontal="left"/>
    </xf>
    <xf numFmtId="0" fontId="0" fillId="2" borderId="47" xfId="0" applyFill="1" applyBorder="1"/>
    <xf numFmtId="0" fontId="0" fillId="2" borderId="49" xfId="0" applyFill="1" applyBorder="1"/>
    <xf numFmtId="1" fontId="0" fillId="16" borderId="54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left"/>
    </xf>
    <xf numFmtId="1" fontId="0" fillId="2" borderId="47" xfId="0" applyNumberFormat="1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1" fontId="0" fillId="0" borderId="40" xfId="0" applyNumberFormat="1" applyFill="1" applyBorder="1" applyAlignment="1">
      <alignment horizontal="left"/>
    </xf>
    <xf numFmtId="20" fontId="0" fillId="6" borderId="32" xfId="0" applyNumberFormat="1" applyFill="1" applyBorder="1" applyAlignment="1">
      <alignment horizontal="left"/>
    </xf>
    <xf numFmtId="1" fontId="0" fillId="6" borderId="50" xfId="0" applyNumberFormat="1" applyFill="1" applyBorder="1" applyAlignment="1">
      <alignment horizontal="left"/>
    </xf>
    <xf numFmtId="1" fontId="0" fillId="8" borderId="51" xfId="0" applyNumberFormat="1" applyFill="1" applyBorder="1" applyAlignment="1">
      <alignment horizontal="left"/>
    </xf>
    <xf numFmtId="1" fontId="0" fillId="5" borderId="54" xfId="0" applyNumberFormat="1" applyFill="1" applyBorder="1" applyAlignment="1">
      <alignment horizontal="center"/>
    </xf>
    <xf numFmtId="1" fontId="0" fillId="6" borderId="51" xfId="0" applyNumberFormat="1" applyFill="1" applyBorder="1" applyAlignment="1">
      <alignment horizontal="center"/>
    </xf>
    <xf numFmtId="1" fontId="0" fillId="6" borderId="32" xfId="0" applyNumberFormat="1" applyFill="1" applyBorder="1" applyAlignment="1">
      <alignment horizontal="center"/>
    </xf>
    <xf numFmtId="1" fontId="0" fillId="6" borderId="54" xfId="0" applyNumberFormat="1" applyFill="1" applyBorder="1" applyAlignment="1">
      <alignment horizontal="center"/>
    </xf>
    <xf numFmtId="1" fontId="0" fillId="8" borderId="51" xfId="0" applyNumberFormat="1" applyFill="1" applyBorder="1" applyAlignment="1">
      <alignment horizontal="center"/>
    </xf>
    <xf numFmtId="1" fontId="0" fillId="8" borderId="32" xfId="0" applyNumberFormat="1" applyFill="1" applyBorder="1" applyAlignment="1">
      <alignment horizontal="center"/>
    </xf>
    <xf numFmtId="1" fontId="0" fillId="8" borderId="54" xfId="0" applyNumberFormat="1" applyFill="1" applyBorder="1" applyAlignment="1">
      <alignment horizontal="center"/>
    </xf>
    <xf numFmtId="1" fontId="0" fillId="5" borderId="51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5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97" t="s">
        <v>63</v>
      </c>
      <c r="I2" s="397" t="s">
        <v>61</v>
      </c>
      <c r="J2" s="397" t="s">
        <v>55</v>
      </c>
      <c r="K2" s="397" t="s">
        <v>56</v>
      </c>
      <c r="L2" s="397" t="s">
        <v>57</v>
      </c>
      <c r="M2" s="397" t="s">
        <v>58</v>
      </c>
      <c r="N2" s="397" t="s">
        <v>59</v>
      </c>
      <c r="O2" s="397" t="s">
        <v>62</v>
      </c>
      <c r="P2" s="397" t="s">
        <v>60</v>
      </c>
      <c r="Q2" s="397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97"/>
      <c r="I3" s="397"/>
      <c r="J3" s="397"/>
      <c r="K3" s="397"/>
      <c r="L3" s="397"/>
      <c r="M3" s="397"/>
      <c r="N3" s="397"/>
      <c r="O3" s="397"/>
      <c r="P3" s="397"/>
      <c r="Q3" s="397"/>
      <c r="AP3" s="406" t="s">
        <v>70</v>
      </c>
      <c r="AQ3" s="407"/>
      <c r="AR3" s="407"/>
      <c r="AS3" s="408"/>
      <c r="AU3" s="405" t="s">
        <v>69</v>
      </c>
      <c r="AV3" s="405"/>
      <c r="AW3" s="405"/>
      <c r="AX3" s="405"/>
      <c r="AY3" s="405"/>
      <c r="AZ3" s="405"/>
      <c r="BA3" s="405"/>
      <c r="BB3" s="405"/>
      <c r="BC3" s="405"/>
      <c r="BD3" s="405"/>
      <c r="BE3" s="405"/>
      <c r="BF3" s="405"/>
      <c r="BG3" s="405"/>
      <c r="BH3" s="405"/>
      <c r="BI3" s="405"/>
    </row>
    <row r="4" spans="2:63" x14ac:dyDescent="0.25">
      <c r="C4" s="23"/>
      <c r="D4" s="23"/>
      <c r="E4" s="23"/>
      <c r="F4" s="23"/>
      <c r="G4" s="23"/>
      <c r="H4" s="397"/>
      <c r="I4" s="397"/>
      <c r="J4" s="397"/>
      <c r="K4" s="397"/>
      <c r="L4" s="397"/>
      <c r="M4" s="397"/>
      <c r="N4" s="397"/>
      <c r="O4" s="397"/>
      <c r="P4" s="397"/>
      <c r="Q4" s="397"/>
      <c r="AP4" s="57" t="s">
        <v>16</v>
      </c>
      <c r="AQ4" s="403" t="s">
        <v>14</v>
      </c>
      <c r="AR4" s="404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409" t="s">
        <v>53</v>
      </c>
      <c r="BK4" s="410"/>
    </row>
    <row r="5" spans="2:63" x14ac:dyDescent="0.25">
      <c r="C5" s="23"/>
      <c r="D5" s="23"/>
      <c r="E5" s="23"/>
      <c r="F5" s="23"/>
      <c r="G5" s="23"/>
      <c r="H5" s="397"/>
      <c r="I5" s="397"/>
      <c r="J5" s="397"/>
      <c r="K5" s="397"/>
      <c r="L5" s="397"/>
      <c r="M5" s="397"/>
      <c r="N5" s="397"/>
      <c r="O5" s="397"/>
      <c r="P5" s="397"/>
      <c r="Q5" s="397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411" t="s">
        <v>54</v>
      </c>
      <c r="BK5" s="412"/>
    </row>
    <row r="6" spans="2:63" ht="15" customHeight="1" x14ac:dyDescent="0.25">
      <c r="C6" s="23"/>
      <c r="D6" s="23"/>
      <c r="E6" s="23"/>
      <c r="F6" s="23"/>
      <c r="G6" s="23"/>
      <c r="H6" s="397"/>
      <c r="I6" s="397"/>
      <c r="J6" s="397"/>
      <c r="K6" s="397"/>
      <c r="L6" s="397"/>
      <c r="M6" s="397"/>
      <c r="N6" s="397"/>
      <c r="O6" s="397"/>
      <c r="P6" s="397"/>
      <c r="Q6" s="397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97"/>
      <c r="I7" s="397"/>
      <c r="J7" s="397"/>
      <c r="K7" s="397"/>
      <c r="L7" s="397"/>
      <c r="M7" s="397"/>
      <c r="N7" s="397"/>
      <c r="O7" s="397"/>
      <c r="P7" s="397"/>
      <c r="Q7" s="397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97"/>
      <c r="I8" s="397"/>
      <c r="J8" s="397"/>
      <c r="K8" s="397"/>
      <c r="L8" s="397"/>
      <c r="M8" s="397"/>
      <c r="N8" s="397"/>
      <c r="O8" s="397"/>
      <c r="P8" s="397"/>
      <c r="Q8" s="397"/>
      <c r="S8" s="26"/>
      <c r="T8" s="27"/>
      <c r="U8" s="399" t="s">
        <v>8</v>
      </c>
      <c r="V8" s="399"/>
      <c r="W8" s="41"/>
      <c r="X8" s="27"/>
      <c r="Y8" s="399" t="s">
        <v>8</v>
      </c>
      <c r="Z8" s="399"/>
      <c r="AA8" s="40"/>
      <c r="AB8" s="28"/>
      <c r="AC8" s="33"/>
      <c r="AD8" s="26"/>
      <c r="AE8" s="27"/>
      <c r="AF8" s="399" t="s">
        <v>8</v>
      </c>
      <c r="AG8" s="399"/>
      <c r="AH8" s="41"/>
      <c r="AI8" s="27"/>
      <c r="AJ8" s="399" t="s">
        <v>8</v>
      </c>
      <c r="AK8" s="399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98"/>
      <c r="I9" s="398"/>
      <c r="J9" s="398"/>
      <c r="K9" s="398"/>
      <c r="L9" s="398"/>
      <c r="M9" s="398"/>
      <c r="N9" s="398"/>
      <c r="O9" s="398"/>
      <c r="P9" s="398"/>
      <c r="Q9" s="398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96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96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96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401" t="s">
        <v>19</v>
      </c>
      <c r="AC11" s="33"/>
      <c r="AD11" s="396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95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401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95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402" t="s">
        <v>33</v>
      </c>
      <c r="W13" s="402"/>
      <c r="X13" s="402"/>
      <c r="Y13" s="402"/>
      <c r="Z13" s="1"/>
      <c r="AA13" s="31"/>
      <c r="AB13" s="30"/>
      <c r="AC13" s="33"/>
      <c r="AD13" s="29"/>
      <c r="AE13" s="31"/>
      <c r="AF13" s="1"/>
      <c r="AG13" s="402" t="s">
        <v>33</v>
      </c>
      <c r="AH13" s="402"/>
      <c r="AI13" s="402"/>
      <c r="AJ13" s="402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400" t="s">
        <v>0</v>
      </c>
      <c r="Y14" s="400"/>
      <c r="Z14" s="400"/>
      <c r="AA14" s="400"/>
      <c r="AB14" s="32"/>
      <c r="AC14" s="33"/>
      <c r="AD14" s="37"/>
      <c r="AE14" s="34"/>
      <c r="AF14" s="35"/>
      <c r="AG14" s="35"/>
      <c r="AH14" s="34"/>
      <c r="AI14" s="400" t="s">
        <v>0</v>
      </c>
      <c r="AJ14" s="400"/>
      <c r="AK14" s="400"/>
      <c r="AL14" s="400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99" t="s">
        <v>8</v>
      </c>
      <c r="V16" s="399"/>
      <c r="W16" s="41"/>
      <c r="X16" s="27"/>
      <c r="Y16" s="399" t="s">
        <v>8</v>
      </c>
      <c r="Z16" s="399"/>
      <c r="AA16" s="40"/>
      <c r="AB16" s="28"/>
      <c r="AC16" s="33"/>
      <c r="AD16" s="26"/>
      <c r="AE16" s="27"/>
      <c r="AF16" s="399" t="s">
        <v>8</v>
      </c>
      <c r="AG16" s="399"/>
      <c r="AH16" s="41"/>
      <c r="AI16" s="27"/>
      <c r="AJ16" s="399" t="s">
        <v>8</v>
      </c>
      <c r="AK16" s="399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96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96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96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95" t="s">
        <v>19</v>
      </c>
      <c r="AC19" s="33"/>
      <c r="AD19" s="396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95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95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95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402" t="s">
        <v>33</v>
      </c>
      <c r="W21" s="402"/>
      <c r="X21" s="402"/>
      <c r="Y21" s="402"/>
      <c r="Z21" s="1"/>
      <c r="AA21" s="31"/>
      <c r="AB21" s="30"/>
      <c r="AC21" s="33"/>
      <c r="AD21" s="29"/>
      <c r="AE21" s="31"/>
      <c r="AF21" s="1"/>
      <c r="AG21" s="402" t="s">
        <v>33</v>
      </c>
      <c r="AH21" s="402"/>
      <c r="AI21" s="402"/>
      <c r="AJ21" s="402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400" t="s">
        <v>0</v>
      </c>
      <c r="Y22" s="400"/>
      <c r="Z22" s="400"/>
      <c r="AA22" s="400"/>
      <c r="AB22" s="32"/>
      <c r="AC22" s="33"/>
      <c r="AD22" s="37"/>
      <c r="AE22" s="34"/>
      <c r="AF22" s="35"/>
      <c r="AG22" s="35"/>
      <c r="AH22" s="34"/>
      <c r="AI22" s="400" t="s">
        <v>0</v>
      </c>
      <c r="AJ22" s="400"/>
      <c r="AK22" s="400"/>
      <c r="AL22" s="400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99" t="s">
        <v>8</v>
      </c>
      <c r="V24" s="399"/>
      <c r="W24" s="41"/>
      <c r="X24" s="27"/>
      <c r="Y24" s="399" t="s">
        <v>8</v>
      </c>
      <c r="Z24" s="399"/>
      <c r="AA24" s="40"/>
      <c r="AB24" s="28"/>
      <c r="AC24" s="33"/>
      <c r="AD24" s="26"/>
      <c r="AE24" s="27"/>
      <c r="AF24" s="399" t="s">
        <v>8</v>
      </c>
      <c r="AG24" s="399"/>
      <c r="AH24" s="41"/>
      <c r="AI24" s="27"/>
      <c r="AJ24" s="399" t="s">
        <v>8</v>
      </c>
      <c r="AK24" s="399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96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96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96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95" t="s">
        <v>19</v>
      </c>
      <c r="AC27" s="33"/>
      <c r="AD27" s="396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95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95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95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402" t="s">
        <v>33</v>
      </c>
      <c r="W29" s="402"/>
      <c r="X29" s="402"/>
      <c r="Y29" s="402"/>
      <c r="Z29" s="1"/>
      <c r="AA29" s="31"/>
      <c r="AB29" s="30"/>
      <c r="AC29" s="33"/>
      <c r="AD29" s="29"/>
      <c r="AE29" s="31"/>
      <c r="AF29" s="1"/>
      <c r="AG29" s="402" t="s">
        <v>33</v>
      </c>
      <c r="AH29" s="402"/>
      <c r="AI29" s="402"/>
      <c r="AJ29" s="402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400" t="s">
        <v>0</v>
      </c>
      <c r="Y30" s="400"/>
      <c r="Z30" s="400"/>
      <c r="AA30" s="400"/>
      <c r="AB30" s="32"/>
      <c r="AC30" s="33"/>
      <c r="AD30" s="37"/>
      <c r="AE30" s="34"/>
      <c r="AF30" s="35"/>
      <c r="AG30" s="35"/>
      <c r="AH30" s="34"/>
      <c r="AI30" s="400" t="s">
        <v>0</v>
      </c>
      <c r="AJ30" s="400"/>
      <c r="AK30" s="400"/>
      <c r="AL30" s="400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99" t="s">
        <v>8</v>
      </c>
      <c r="V32" s="399"/>
      <c r="W32" s="41"/>
      <c r="X32" s="27"/>
      <c r="Y32" s="399" t="s">
        <v>8</v>
      </c>
      <c r="Z32" s="399"/>
      <c r="AA32" s="40"/>
      <c r="AB32" s="28"/>
      <c r="AC32" s="33"/>
      <c r="AD32" s="26"/>
      <c r="AE32" s="27"/>
      <c r="AF32" s="399" t="s">
        <v>8</v>
      </c>
      <c r="AG32" s="399"/>
      <c r="AH32" s="41"/>
      <c r="AI32" s="27"/>
      <c r="AJ32" s="399" t="s">
        <v>8</v>
      </c>
      <c r="AK32" s="399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96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96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96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95" t="s">
        <v>19</v>
      </c>
      <c r="AC35" s="33"/>
      <c r="AD35" s="396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95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95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95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402" t="s">
        <v>33</v>
      </c>
      <c r="W37" s="402"/>
      <c r="X37" s="402"/>
      <c r="Y37" s="402"/>
      <c r="Z37" s="1"/>
      <c r="AA37" s="31"/>
      <c r="AB37" s="30"/>
      <c r="AC37" s="33"/>
      <c r="AD37" s="29"/>
      <c r="AE37" s="31"/>
      <c r="AF37" s="1"/>
      <c r="AG37" s="402" t="s">
        <v>33</v>
      </c>
      <c r="AH37" s="402"/>
      <c r="AI37" s="402"/>
      <c r="AJ37" s="402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400" t="s">
        <v>0</v>
      </c>
      <c r="Y38" s="400"/>
      <c r="Z38" s="400"/>
      <c r="AA38" s="400"/>
      <c r="AB38" s="32"/>
      <c r="AC38" s="33"/>
      <c r="AD38" s="37"/>
      <c r="AE38" s="34"/>
      <c r="AF38" s="35"/>
      <c r="AG38" s="35"/>
      <c r="AH38" s="34"/>
      <c r="AI38" s="400" t="s">
        <v>0</v>
      </c>
      <c r="AJ38" s="400"/>
      <c r="AK38" s="400"/>
      <c r="AL38" s="400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99" t="s">
        <v>8</v>
      </c>
      <c r="V40" s="399"/>
      <c r="W40" s="41"/>
      <c r="X40" s="27"/>
      <c r="Y40" s="399" t="s">
        <v>8</v>
      </c>
      <c r="Z40" s="399"/>
      <c r="AA40" s="40"/>
      <c r="AB40" s="28"/>
      <c r="AC40" s="33"/>
      <c r="AD40" s="26"/>
      <c r="AE40" s="27"/>
      <c r="AF40" s="399" t="s">
        <v>8</v>
      </c>
      <c r="AG40" s="399"/>
      <c r="AH40" s="41"/>
      <c r="AI40" s="27"/>
      <c r="AJ40" s="399" t="s">
        <v>8</v>
      </c>
      <c r="AK40" s="399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96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96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96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95" t="s">
        <v>19</v>
      </c>
      <c r="AC43" s="33"/>
      <c r="AD43" s="396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95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95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95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402" t="s">
        <v>33</v>
      </c>
      <c r="W45" s="402"/>
      <c r="X45" s="402"/>
      <c r="Y45" s="402"/>
      <c r="Z45" s="1"/>
      <c r="AA45" s="31"/>
      <c r="AB45" s="30"/>
      <c r="AC45" s="33"/>
      <c r="AD45" s="29"/>
      <c r="AE45" s="31"/>
      <c r="AF45" s="1"/>
      <c r="AG45" s="402" t="s">
        <v>33</v>
      </c>
      <c r="AH45" s="402"/>
      <c r="AI45" s="402"/>
      <c r="AJ45" s="402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400" t="s">
        <v>0</v>
      </c>
      <c r="Y46" s="400"/>
      <c r="Z46" s="400"/>
      <c r="AA46" s="400"/>
      <c r="AB46" s="32"/>
      <c r="AC46" s="33"/>
      <c r="AD46" s="37"/>
      <c r="AE46" s="34"/>
      <c r="AF46" s="35"/>
      <c r="AG46" s="35"/>
      <c r="AH46" s="34"/>
      <c r="AI46" s="400" t="s">
        <v>0</v>
      </c>
      <c r="AJ46" s="400"/>
      <c r="AK46" s="400"/>
      <c r="AL46" s="400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97" t="s">
        <v>63</v>
      </c>
      <c r="J2" s="397" t="s">
        <v>61</v>
      </c>
      <c r="K2" s="397" t="s">
        <v>55</v>
      </c>
      <c r="L2" s="397" t="s">
        <v>56</v>
      </c>
      <c r="M2" s="397" t="s">
        <v>57</v>
      </c>
      <c r="N2" s="397" t="s">
        <v>58</v>
      </c>
      <c r="O2" s="397" t="s">
        <v>59</v>
      </c>
      <c r="P2" s="397" t="s">
        <v>62</v>
      </c>
      <c r="Q2" s="397" t="s">
        <v>60</v>
      </c>
      <c r="R2" s="397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97"/>
      <c r="J3" s="397"/>
      <c r="K3" s="397"/>
      <c r="L3" s="397"/>
      <c r="M3" s="397"/>
      <c r="N3" s="397"/>
      <c r="O3" s="397"/>
      <c r="P3" s="397"/>
      <c r="Q3" s="397"/>
      <c r="R3" s="397"/>
      <c r="AT3" s="406" t="s">
        <v>70</v>
      </c>
      <c r="AU3" s="407"/>
      <c r="AV3" s="407"/>
      <c r="AW3" s="408"/>
      <c r="AY3" s="405" t="s">
        <v>69</v>
      </c>
      <c r="AZ3" s="405"/>
      <c r="BA3" s="405"/>
      <c r="BB3" s="405"/>
      <c r="BC3" s="405"/>
      <c r="BD3" s="405"/>
      <c r="BE3" s="405"/>
      <c r="BF3" s="405"/>
      <c r="BG3" s="405"/>
      <c r="BH3" s="405"/>
      <c r="BI3" s="405"/>
      <c r="BJ3" s="405"/>
      <c r="BK3" s="405"/>
      <c r="BL3" s="405"/>
      <c r="BM3" s="405"/>
    </row>
    <row r="4" spans="2:67" x14ac:dyDescent="0.25">
      <c r="D4" s="23"/>
      <c r="E4" s="23"/>
      <c r="F4" s="23"/>
      <c r="G4" s="23"/>
      <c r="H4" s="23"/>
      <c r="I4" s="397"/>
      <c r="J4" s="397"/>
      <c r="K4" s="397"/>
      <c r="L4" s="397"/>
      <c r="M4" s="397"/>
      <c r="N4" s="397"/>
      <c r="O4" s="397"/>
      <c r="P4" s="397"/>
      <c r="Q4" s="397"/>
      <c r="R4" s="397"/>
      <c r="AT4" s="57" t="s">
        <v>16</v>
      </c>
      <c r="AU4" s="403" t="s">
        <v>14</v>
      </c>
      <c r="AV4" s="404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409" t="s">
        <v>53</v>
      </c>
      <c r="BO4" s="410"/>
    </row>
    <row r="5" spans="2:67" x14ac:dyDescent="0.25">
      <c r="D5" s="23"/>
      <c r="E5" s="23"/>
      <c r="F5" s="23"/>
      <c r="G5" s="23"/>
      <c r="H5" s="23"/>
      <c r="I5" s="397"/>
      <c r="J5" s="397"/>
      <c r="K5" s="397"/>
      <c r="L5" s="397"/>
      <c r="M5" s="397"/>
      <c r="N5" s="397"/>
      <c r="O5" s="397"/>
      <c r="P5" s="397"/>
      <c r="Q5" s="397"/>
      <c r="R5" s="397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411" t="s">
        <v>54</v>
      </c>
      <c r="BO5" s="412"/>
    </row>
    <row r="6" spans="2:67" ht="15" customHeight="1" x14ac:dyDescent="0.25">
      <c r="D6" s="23"/>
      <c r="E6" s="23"/>
      <c r="F6" s="23"/>
      <c r="G6" s="23"/>
      <c r="H6" s="23"/>
      <c r="I6" s="397"/>
      <c r="J6" s="397"/>
      <c r="K6" s="397"/>
      <c r="L6" s="397"/>
      <c r="M6" s="397"/>
      <c r="N6" s="397"/>
      <c r="O6" s="397"/>
      <c r="P6" s="397"/>
      <c r="Q6" s="397"/>
      <c r="R6" s="397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97"/>
      <c r="J7" s="397"/>
      <c r="K7" s="397"/>
      <c r="L7" s="397"/>
      <c r="M7" s="397"/>
      <c r="N7" s="397"/>
      <c r="O7" s="397"/>
      <c r="P7" s="397"/>
      <c r="Q7" s="397"/>
      <c r="R7" s="397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97"/>
      <c r="J8" s="397"/>
      <c r="K8" s="397"/>
      <c r="L8" s="397"/>
      <c r="M8" s="397"/>
      <c r="N8" s="397"/>
      <c r="O8" s="397"/>
      <c r="P8" s="397"/>
      <c r="Q8" s="397"/>
      <c r="R8" s="397"/>
      <c r="T8" s="26"/>
      <c r="U8" s="27"/>
      <c r="V8" s="399" t="s">
        <v>8</v>
      </c>
      <c r="W8" s="399"/>
      <c r="X8" s="41"/>
      <c r="Y8" s="27"/>
      <c r="Z8" s="399" t="s">
        <v>8</v>
      </c>
      <c r="AA8" s="399"/>
      <c r="AB8" s="40"/>
      <c r="AC8" s="28"/>
      <c r="AD8" s="33"/>
      <c r="AE8" s="26"/>
      <c r="AF8" s="27"/>
      <c r="AG8" s="399" t="s">
        <v>8</v>
      </c>
      <c r="AH8" s="399"/>
      <c r="AI8" s="41"/>
      <c r="AJ8" s="27"/>
      <c r="AK8" s="399" t="s">
        <v>8</v>
      </c>
      <c r="AL8" s="399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98"/>
      <c r="J9" s="398"/>
      <c r="K9" s="398"/>
      <c r="L9" s="398"/>
      <c r="M9" s="398"/>
      <c r="N9" s="398"/>
      <c r="O9" s="398"/>
      <c r="P9" s="398"/>
      <c r="Q9" s="398"/>
      <c r="R9" s="398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96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96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96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401" t="s">
        <v>19</v>
      </c>
      <c r="AD11" s="33"/>
      <c r="AE11" s="396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95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401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95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402" t="s">
        <v>33</v>
      </c>
      <c r="X13" s="402"/>
      <c r="Y13" s="402"/>
      <c r="Z13" s="402"/>
      <c r="AA13" s="1"/>
      <c r="AB13" s="31"/>
      <c r="AC13" s="30"/>
      <c r="AD13" s="33"/>
      <c r="AE13" s="29"/>
      <c r="AF13" s="31"/>
      <c r="AG13" s="1"/>
      <c r="AH13" s="402" t="s">
        <v>33</v>
      </c>
      <c r="AI13" s="402"/>
      <c r="AJ13" s="402"/>
      <c r="AK13" s="402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400" t="s">
        <v>0</v>
      </c>
      <c r="Z14" s="400"/>
      <c r="AA14" s="400"/>
      <c r="AB14" s="400"/>
      <c r="AC14" s="32"/>
      <c r="AD14" s="33"/>
      <c r="AE14" s="37"/>
      <c r="AF14" s="34"/>
      <c r="AG14" s="35"/>
      <c r="AH14" s="35"/>
      <c r="AI14" s="34"/>
      <c r="AJ14" s="400" t="s">
        <v>0</v>
      </c>
      <c r="AK14" s="400"/>
      <c r="AL14" s="400"/>
      <c r="AM14" s="400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99" t="s">
        <v>8</v>
      </c>
      <c r="W16" s="399"/>
      <c r="X16" s="41"/>
      <c r="Y16" s="27"/>
      <c r="Z16" s="399" t="s">
        <v>8</v>
      </c>
      <c r="AA16" s="399"/>
      <c r="AB16" s="40"/>
      <c r="AC16" s="28"/>
      <c r="AD16" s="33"/>
      <c r="AE16" s="26"/>
      <c r="AF16" s="27"/>
      <c r="AG16" s="399" t="s">
        <v>8</v>
      </c>
      <c r="AH16" s="399"/>
      <c r="AI16" s="41"/>
      <c r="AJ16" s="27"/>
      <c r="AK16" s="399" t="s">
        <v>8</v>
      </c>
      <c r="AL16" s="399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96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96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96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95" t="s">
        <v>19</v>
      </c>
      <c r="AD19" s="33"/>
      <c r="AE19" s="396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95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95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95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402" t="s">
        <v>33</v>
      </c>
      <c r="X21" s="402"/>
      <c r="Y21" s="402"/>
      <c r="Z21" s="402"/>
      <c r="AA21" s="1"/>
      <c r="AB21" s="31"/>
      <c r="AC21" s="30"/>
      <c r="AD21" s="33"/>
      <c r="AE21" s="29"/>
      <c r="AF21" s="31"/>
      <c r="AG21" s="1"/>
      <c r="AH21" s="402" t="s">
        <v>33</v>
      </c>
      <c r="AI21" s="402"/>
      <c r="AJ21" s="402"/>
      <c r="AK21" s="402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400" t="s">
        <v>0</v>
      </c>
      <c r="Z22" s="400"/>
      <c r="AA22" s="400"/>
      <c r="AB22" s="400"/>
      <c r="AC22" s="32"/>
      <c r="AD22" s="33"/>
      <c r="AE22" s="37"/>
      <c r="AF22" s="34"/>
      <c r="AG22" s="35"/>
      <c r="AH22" s="35"/>
      <c r="AI22" s="34"/>
      <c r="AJ22" s="400" t="s">
        <v>0</v>
      </c>
      <c r="AK22" s="400"/>
      <c r="AL22" s="400"/>
      <c r="AM22" s="400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99" t="s">
        <v>8</v>
      </c>
      <c r="W24" s="399"/>
      <c r="X24" s="41"/>
      <c r="Y24" s="27"/>
      <c r="Z24" s="399" t="s">
        <v>8</v>
      </c>
      <c r="AA24" s="399"/>
      <c r="AB24" s="40"/>
      <c r="AC24" s="28"/>
      <c r="AD24" s="33"/>
      <c r="AE24" s="26"/>
      <c r="AF24" s="27"/>
      <c r="AG24" s="399" t="s">
        <v>8</v>
      </c>
      <c r="AH24" s="399"/>
      <c r="AI24" s="41"/>
      <c r="AJ24" s="27"/>
      <c r="AK24" s="399" t="s">
        <v>8</v>
      </c>
      <c r="AL24" s="399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96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96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96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95" t="s">
        <v>19</v>
      </c>
      <c r="AD27" s="33"/>
      <c r="AE27" s="396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95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95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95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402" t="s">
        <v>33</v>
      </c>
      <c r="X29" s="402"/>
      <c r="Y29" s="402"/>
      <c r="Z29" s="402"/>
      <c r="AA29" s="1"/>
      <c r="AB29" s="31"/>
      <c r="AC29" s="30"/>
      <c r="AD29" s="33"/>
      <c r="AE29" s="29"/>
      <c r="AF29" s="31"/>
      <c r="AG29" s="1"/>
      <c r="AH29" s="402" t="s">
        <v>33</v>
      </c>
      <c r="AI29" s="402"/>
      <c r="AJ29" s="402"/>
      <c r="AK29" s="402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400" t="s">
        <v>0</v>
      </c>
      <c r="Z30" s="400"/>
      <c r="AA30" s="400"/>
      <c r="AB30" s="400"/>
      <c r="AC30" s="32"/>
      <c r="AD30" s="33"/>
      <c r="AE30" s="37"/>
      <c r="AF30" s="34"/>
      <c r="AG30" s="35"/>
      <c r="AH30" s="35"/>
      <c r="AI30" s="34"/>
      <c r="AJ30" s="400" t="s">
        <v>0</v>
      </c>
      <c r="AK30" s="400"/>
      <c r="AL30" s="400"/>
      <c r="AM30" s="400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99" t="s">
        <v>8</v>
      </c>
      <c r="W32" s="399"/>
      <c r="X32" s="41"/>
      <c r="Y32" s="27"/>
      <c r="Z32" s="399" t="s">
        <v>8</v>
      </c>
      <c r="AA32" s="399"/>
      <c r="AB32" s="40"/>
      <c r="AC32" s="28"/>
      <c r="AD32" s="33"/>
      <c r="AE32" s="26"/>
      <c r="AF32" s="27"/>
      <c r="AG32" s="399" t="s">
        <v>8</v>
      </c>
      <c r="AH32" s="399"/>
      <c r="AI32" s="41"/>
      <c r="AJ32" s="27"/>
      <c r="AK32" s="399" t="s">
        <v>8</v>
      </c>
      <c r="AL32" s="399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96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96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96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95" t="s">
        <v>19</v>
      </c>
      <c r="AD35" s="33"/>
      <c r="AE35" s="396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95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95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95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402" t="s">
        <v>33</v>
      </c>
      <c r="X37" s="402"/>
      <c r="Y37" s="402"/>
      <c r="Z37" s="402"/>
      <c r="AA37" s="1"/>
      <c r="AB37" s="31"/>
      <c r="AC37" s="30"/>
      <c r="AD37" s="33"/>
      <c r="AE37" s="29"/>
      <c r="AF37" s="31"/>
      <c r="AG37" s="1"/>
      <c r="AH37" s="402" t="s">
        <v>33</v>
      </c>
      <c r="AI37" s="402"/>
      <c r="AJ37" s="402"/>
      <c r="AK37" s="402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400" t="s">
        <v>0</v>
      </c>
      <c r="Z38" s="400"/>
      <c r="AA38" s="400"/>
      <c r="AB38" s="400"/>
      <c r="AC38" s="32"/>
      <c r="AD38" s="33"/>
      <c r="AE38" s="37"/>
      <c r="AF38" s="34"/>
      <c r="AG38" s="35"/>
      <c r="AH38" s="35"/>
      <c r="AI38" s="34"/>
      <c r="AJ38" s="400" t="s">
        <v>0</v>
      </c>
      <c r="AK38" s="400"/>
      <c r="AL38" s="400"/>
      <c r="AM38" s="400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99" t="s">
        <v>8</v>
      </c>
      <c r="W40" s="399"/>
      <c r="X40" s="41"/>
      <c r="Y40" s="27"/>
      <c r="Z40" s="399" t="s">
        <v>8</v>
      </c>
      <c r="AA40" s="399"/>
      <c r="AB40" s="40"/>
      <c r="AC40" s="28"/>
      <c r="AD40" s="33"/>
      <c r="AE40" s="26"/>
      <c r="AF40" s="27"/>
      <c r="AG40" s="399" t="s">
        <v>8</v>
      </c>
      <c r="AH40" s="399"/>
      <c r="AI40" s="41"/>
      <c r="AJ40" s="27"/>
      <c r="AK40" s="399" t="s">
        <v>8</v>
      </c>
      <c r="AL40" s="399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96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96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96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95" t="s">
        <v>19</v>
      </c>
      <c r="AD43" s="33"/>
      <c r="AE43" s="396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95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95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95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402" t="s">
        <v>33</v>
      </c>
      <c r="X45" s="402"/>
      <c r="Y45" s="402"/>
      <c r="Z45" s="402"/>
      <c r="AA45" s="1"/>
      <c r="AB45" s="31"/>
      <c r="AC45" s="30"/>
      <c r="AD45" s="33"/>
      <c r="AE45" s="29"/>
      <c r="AF45" s="31"/>
      <c r="AG45" s="1"/>
      <c r="AH45" s="402" t="s">
        <v>33</v>
      </c>
      <c r="AI45" s="402"/>
      <c r="AJ45" s="402"/>
      <c r="AK45" s="402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400" t="s">
        <v>0</v>
      </c>
      <c r="Z46" s="400"/>
      <c r="AA46" s="400"/>
      <c r="AB46" s="400"/>
      <c r="AC46" s="32"/>
      <c r="AD46" s="33"/>
      <c r="AE46" s="37"/>
      <c r="AF46" s="34"/>
      <c r="AG46" s="35"/>
      <c r="AH46" s="35"/>
      <c r="AI46" s="34"/>
      <c r="AJ46" s="400" t="s">
        <v>0</v>
      </c>
      <c r="AK46" s="400"/>
      <c r="AL46" s="400"/>
      <c r="AM46" s="400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413" t="s">
        <v>131</v>
      </c>
      <c r="X50" s="413"/>
      <c r="Y50" s="413"/>
      <c r="Z50" s="413"/>
      <c r="AA50" s="413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414" t="s">
        <v>132</v>
      </c>
      <c r="X51" s="414"/>
      <c r="Y51" s="414"/>
      <c r="Z51" s="414"/>
      <c r="AA51" s="414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"/>
  <sheetViews>
    <sheetView tabSelected="1" topLeftCell="G1" workbookViewId="0">
      <pane ySplit="2" topLeftCell="A3" activePane="bottomLeft" state="frozen"/>
      <selection pane="bottomLeft" activeCell="K1" sqref="K1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11.7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273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274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293" t="s">
        <v>135</v>
      </c>
      <c r="D2" s="294" t="s">
        <v>265</v>
      </c>
      <c r="E2" s="294" t="s">
        <v>220</v>
      </c>
      <c r="F2" s="294" t="s">
        <v>221</v>
      </c>
      <c r="G2" s="294" t="s">
        <v>71</v>
      </c>
      <c r="H2" s="294" t="s">
        <v>219</v>
      </c>
      <c r="I2" s="294" t="s">
        <v>0</v>
      </c>
      <c r="J2" s="294" t="s">
        <v>33</v>
      </c>
      <c r="K2" s="294" t="s">
        <v>1</v>
      </c>
      <c r="L2" s="294" t="s">
        <v>8</v>
      </c>
      <c r="M2" s="294" t="s">
        <v>19</v>
      </c>
      <c r="N2" s="294" t="s">
        <v>134</v>
      </c>
      <c r="O2" s="295" t="s">
        <v>212</v>
      </c>
      <c r="P2" s="294" t="s">
        <v>135</v>
      </c>
      <c r="Q2" s="294" t="s">
        <v>30</v>
      </c>
      <c r="R2" s="294" t="s">
        <v>27</v>
      </c>
      <c r="S2" s="294" t="s">
        <v>31</v>
      </c>
      <c r="T2" s="294" t="s">
        <v>29</v>
      </c>
      <c r="U2" s="294" t="s">
        <v>23</v>
      </c>
      <c r="V2" s="294" t="s">
        <v>26</v>
      </c>
      <c r="W2" s="294" t="s">
        <v>24</v>
      </c>
      <c r="X2" s="294" t="s">
        <v>28</v>
      </c>
      <c r="Y2" s="294" t="s">
        <v>25</v>
      </c>
      <c r="Z2" s="294" t="s">
        <v>22</v>
      </c>
      <c r="AA2" s="294" t="s">
        <v>134</v>
      </c>
      <c r="AB2" s="296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/>
      <c r="B3" s="191"/>
      <c r="C3" s="220" t="s">
        <v>135</v>
      </c>
      <c r="D3" s="282">
        <v>1</v>
      </c>
      <c r="E3" s="228" t="s">
        <v>218</v>
      </c>
      <c r="F3" s="306">
        <v>1</v>
      </c>
      <c r="G3" s="228" t="s">
        <v>218</v>
      </c>
      <c r="H3" s="267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06">
        <v>0</v>
      </c>
      <c r="X3" s="266">
        <v>0</v>
      </c>
      <c r="Y3" s="292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366" t="s">
        <v>334</v>
      </c>
      <c r="AE3" s="363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[1,x,1,x,x,0,0,0,0,0]-&gt;[0,1,0,x,x,1,0,0,0,0];   "RAM ProfDos</v>
      </c>
    </row>
    <row r="4" spans="1:33" x14ac:dyDescent="0.25">
      <c r="A4" s="248"/>
      <c r="B4" s="191"/>
      <c r="C4" s="220" t="s">
        <v>135</v>
      </c>
      <c r="D4" s="281" t="s">
        <v>218</v>
      </c>
      <c r="E4" s="214" t="s">
        <v>218</v>
      </c>
      <c r="F4" s="214" t="s">
        <v>218</v>
      </c>
      <c r="G4" s="214" t="s">
        <v>218</v>
      </c>
      <c r="H4" s="230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3" t="s">
        <v>216</v>
      </c>
      <c r="AD4" s="361" t="s">
        <v>332</v>
      </c>
      <c r="AE4" s="364" t="s">
        <v>207</v>
      </c>
      <c r="AG4" s="183" t="str">
        <f t="shared" si="0"/>
        <v>[x,x,x,x,x,0,0,0,0,1]-&gt;[0,0,1,x,x,1,1,x,x,0];   "Codierung 1:1</v>
      </c>
    </row>
    <row r="5" spans="1:33" x14ac:dyDescent="0.25">
      <c r="A5" s="248"/>
      <c r="B5" s="191"/>
      <c r="C5" s="220" t="s">
        <v>135</v>
      </c>
      <c r="D5" s="281" t="s">
        <v>218</v>
      </c>
      <c r="E5" s="214" t="s">
        <v>218</v>
      </c>
      <c r="F5" s="214" t="s">
        <v>218</v>
      </c>
      <c r="G5" s="214" t="s">
        <v>218</v>
      </c>
      <c r="H5" s="230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D5" s="359"/>
      <c r="AE5" s="364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/>
      <c r="B6" s="191"/>
      <c r="C6" s="220" t="s">
        <v>135</v>
      </c>
      <c r="D6" s="281" t="s">
        <v>218</v>
      </c>
      <c r="E6" s="214" t="s">
        <v>218</v>
      </c>
      <c r="F6" s="214" t="s">
        <v>218</v>
      </c>
      <c r="G6" s="214" t="s">
        <v>218</v>
      </c>
      <c r="H6" s="230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D6" s="359"/>
      <c r="AE6" s="364" t="s">
        <v>205</v>
      </c>
      <c r="AG6" s="183" t="str">
        <f t="shared" si="0"/>
        <v xml:space="preserve">[x,x,x,x,x,0,0,0,1,1]-&gt;[0,1,1,x,x,1,1,x,x,0];   </v>
      </c>
    </row>
    <row r="7" spans="1:33" x14ac:dyDescent="0.25">
      <c r="A7" s="248"/>
      <c r="B7" s="191"/>
      <c r="C7" s="220" t="s">
        <v>135</v>
      </c>
      <c r="D7" s="281" t="s">
        <v>218</v>
      </c>
      <c r="E7" s="214" t="s">
        <v>218</v>
      </c>
      <c r="F7" s="214" t="s">
        <v>218</v>
      </c>
      <c r="G7" s="214" t="s">
        <v>218</v>
      </c>
      <c r="H7" s="230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D7" s="359"/>
      <c r="AE7" s="364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/>
      <c r="B8" s="191"/>
      <c r="C8" s="220" t="s">
        <v>135</v>
      </c>
      <c r="D8" s="281" t="s">
        <v>218</v>
      </c>
      <c r="E8" s="214" t="s">
        <v>218</v>
      </c>
      <c r="F8" s="214" t="s">
        <v>218</v>
      </c>
      <c r="G8" s="214" t="s">
        <v>218</v>
      </c>
      <c r="H8" s="230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D8" s="359"/>
      <c r="AE8" s="364" t="s">
        <v>200</v>
      </c>
      <c r="AG8" s="183" t="str">
        <f t="shared" si="0"/>
        <v xml:space="preserve">[x,x,x,x,x,0,0,1,0,1]-&gt;[0,0,1,x,x,1,1,x,x,0];   </v>
      </c>
    </row>
    <row r="9" spans="1:33" x14ac:dyDescent="0.25">
      <c r="A9" s="248"/>
      <c r="B9" s="191"/>
      <c r="C9" s="220" t="s">
        <v>135</v>
      </c>
      <c r="D9" s="281" t="s">
        <v>218</v>
      </c>
      <c r="E9" s="214" t="s">
        <v>218</v>
      </c>
      <c r="F9" s="214" t="s">
        <v>218</v>
      </c>
      <c r="G9" s="214" t="s">
        <v>218</v>
      </c>
      <c r="H9" s="230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D9" s="359"/>
      <c r="AE9" s="364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/>
      <c r="B10" s="191"/>
      <c r="C10" s="220" t="s">
        <v>135</v>
      </c>
      <c r="D10" s="387" t="s">
        <v>218</v>
      </c>
      <c r="E10" s="214" t="s">
        <v>218</v>
      </c>
      <c r="F10" s="214" t="s">
        <v>218</v>
      </c>
      <c r="G10" s="214" t="s">
        <v>218</v>
      </c>
      <c r="H10" s="230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D10" s="360"/>
      <c r="AE10" s="364" t="s">
        <v>198</v>
      </c>
      <c r="AG10" s="183" t="str">
        <f t="shared" si="0"/>
        <v xml:space="preserve">[x,x,x,x,x,0,0,1,1,1]-&gt;[0,1,1,x,x,1,1,x,x,0];   </v>
      </c>
    </row>
    <row r="11" spans="1:33" x14ac:dyDescent="0.25">
      <c r="A11" s="248"/>
      <c r="B11" s="191"/>
      <c r="C11" s="220" t="s">
        <v>135</v>
      </c>
      <c r="D11" s="282">
        <v>1</v>
      </c>
      <c r="E11" s="214" t="s">
        <v>218</v>
      </c>
      <c r="F11" s="214" t="s">
        <v>218</v>
      </c>
      <c r="G11" s="282">
        <v>0</v>
      </c>
      <c r="H11" s="230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6">
        <v>0</v>
      </c>
      <c r="R11" s="256">
        <v>1</v>
      </c>
      <c r="S11" s="256">
        <v>0</v>
      </c>
      <c r="T11" s="233" t="s">
        <v>218</v>
      </c>
      <c r="U11" s="230" t="s">
        <v>218</v>
      </c>
      <c r="V11" s="256">
        <v>1</v>
      </c>
      <c r="W11" s="256">
        <v>0</v>
      </c>
      <c r="X11" s="255">
        <v>0</v>
      </c>
      <c r="Y11" s="257">
        <v>0</v>
      </c>
      <c r="Z11" s="256">
        <v>0</v>
      </c>
      <c r="AA11" s="256" t="s">
        <v>134</v>
      </c>
      <c r="AB11" s="257" t="s">
        <v>130</v>
      </c>
      <c r="AC11" s="241" t="s">
        <v>216</v>
      </c>
      <c r="AD11" s="265" t="s">
        <v>226</v>
      </c>
      <c r="AE11" s="364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/>
      <c r="B12" s="191"/>
      <c r="C12" s="220" t="s">
        <v>135</v>
      </c>
      <c r="D12" s="283">
        <v>1</v>
      </c>
      <c r="E12" s="214" t="s">
        <v>218</v>
      </c>
      <c r="F12" s="214" t="s">
        <v>218</v>
      </c>
      <c r="G12" s="283">
        <v>0</v>
      </c>
      <c r="H12" s="230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6">
        <v>0</v>
      </c>
      <c r="R12" s="256">
        <v>1</v>
      </c>
      <c r="S12" s="256">
        <v>0</v>
      </c>
      <c r="T12" s="233" t="s">
        <v>218</v>
      </c>
      <c r="U12" s="230" t="s">
        <v>218</v>
      </c>
      <c r="V12" s="256">
        <v>1</v>
      </c>
      <c r="W12" s="256">
        <v>0</v>
      </c>
      <c r="X12" s="255">
        <v>0</v>
      </c>
      <c r="Y12" s="257">
        <v>0</v>
      </c>
      <c r="Z12" s="256">
        <v>0</v>
      </c>
      <c r="AA12" s="256" t="s">
        <v>134</v>
      </c>
      <c r="AB12" s="257" t="s">
        <v>130</v>
      </c>
      <c r="AC12" s="241"/>
      <c r="AD12" s="263"/>
      <c r="AE12" s="364" t="s">
        <v>195</v>
      </c>
      <c r="AG12" s="183" t="str">
        <f t="shared" si="0"/>
        <v xml:space="preserve">[1,x,x,0,x,0,1,0,0,1]-&gt;[0,1,0,x,x,1,0,0,0,0];   </v>
      </c>
    </row>
    <row r="13" spans="1:33" x14ac:dyDescent="0.25">
      <c r="A13" s="248"/>
      <c r="B13" s="191"/>
      <c r="C13" s="220" t="s">
        <v>135</v>
      </c>
      <c r="D13" s="283">
        <v>1</v>
      </c>
      <c r="E13" s="214" t="s">
        <v>218</v>
      </c>
      <c r="F13" s="214" t="s">
        <v>218</v>
      </c>
      <c r="G13" s="283">
        <v>0</v>
      </c>
      <c r="H13" s="230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6">
        <v>0</v>
      </c>
      <c r="R13" s="256">
        <v>1</v>
      </c>
      <c r="S13" s="256">
        <v>0</v>
      </c>
      <c r="T13" s="233" t="s">
        <v>218</v>
      </c>
      <c r="U13" s="230" t="s">
        <v>218</v>
      </c>
      <c r="V13" s="256">
        <v>1</v>
      </c>
      <c r="W13" s="256">
        <v>0</v>
      </c>
      <c r="X13" s="255">
        <v>0</v>
      </c>
      <c r="Y13" s="257">
        <v>0</v>
      </c>
      <c r="Z13" s="256">
        <v>0</v>
      </c>
      <c r="AA13" s="256" t="s">
        <v>134</v>
      </c>
      <c r="AB13" s="257" t="s">
        <v>130</v>
      </c>
      <c r="AC13" s="241"/>
      <c r="AD13" s="263"/>
      <c r="AE13" s="364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/>
      <c r="B14" s="191"/>
      <c r="C14" s="220" t="s">
        <v>135</v>
      </c>
      <c r="D14" s="283">
        <v>1</v>
      </c>
      <c r="E14" s="214" t="s">
        <v>218</v>
      </c>
      <c r="F14" s="214" t="s">
        <v>218</v>
      </c>
      <c r="G14" s="283">
        <v>0</v>
      </c>
      <c r="H14" s="230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6">
        <v>0</v>
      </c>
      <c r="R14" s="256">
        <v>1</v>
      </c>
      <c r="S14" s="256">
        <v>0</v>
      </c>
      <c r="T14" s="233" t="s">
        <v>218</v>
      </c>
      <c r="U14" s="230" t="s">
        <v>218</v>
      </c>
      <c r="V14" s="256">
        <v>1</v>
      </c>
      <c r="W14" s="256">
        <v>0</v>
      </c>
      <c r="X14" s="255">
        <v>0</v>
      </c>
      <c r="Y14" s="257">
        <v>0</v>
      </c>
      <c r="Z14" s="256">
        <v>0</v>
      </c>
      <c r="AA14" s="256" t="s">
        <v>134</v>
      </c>
      <c r="AB14" s="257" t="s">
        <v>130</v>
      </c>
      <c r="AC14" s="241"/>
      <c r="AD14" s="264"/>
      <c r="AE14" s="364" t="s">
        <v>193</v>
      </c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3">
        <v>1</v>
      </c>
      <c r="E15" s="214" t="s">
        <v>218</v>
      </c>
      <c r="F15" s="214" t="s">
        <v>218</v>
      </c>
      <c r="G15" s="283">
        <v>0</v>
      </c>
      <c r="H15" s="230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3">
        <v>0</v>
      </c>
      <c r="R15" s="253">
        <v>1</v>
      </c>
      <c r="S15" s="253">
        <v>0</v>
      </c>
      <c r="T15" s="253">
        <v>1</v>
      </c>
      <c r="U15" s="253">
        <v>0</v>
      </c>
      <c r="V15" s="253">
        <v>0</v>
      </c>
      <c r="W15" s="253">
        <v>1</v>
      </c>
      <c r="X15" s="252">
        <v>0</v>
      </c>
      <c r="Y15" s="254">
        <v>0</v>
      </c>
      <c r="Z15" s="254">
        <v>0</v>
      </c>
      <c r="AA15" s="256" t="s">
        <v>134</v>
      </c>
      <c r="AB15" s="257" t="s">
        <v>130</v>
      </c>
      <c r="AC15" s="241" t="s">
        <v>216</v>
      </c>
      <c r="AD15" s="261" t="s">
        <v>174</v>
      </c>
      <c r="AE15" s="364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3">
        <v>1</v>
      </c>
      <c r="E16" s="214" t="s">
        <v>218</v>
      </c>
      <c r="F16" s="214" t="s">
        <v>218</v>
      </c>
      <c r="G16" s="283">
        <v>0</v>
      </c>
      <c r="H16" s="230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6">
        <v>0</v>
      </c>
      <c r="R16" s="256">
        <v>1</v>
      </c>
      <c r="S16" s="256">
        <v>0</v>
      </c>
      <c r="T16" s="256">
        <v>1</v>
      </c>
      <c r="U16" s="256">
        <v>0</v>
      </c>
      <c r="V16" s="256">
        <v>0</v>
      </c>
      <c r="W16" s="256">
        <v>1</v>
      </c>
      <c r="X16" s="255">
        <v>0</v>
      </c>
      <c r="Y16" s="257">
        <v>0</v>
      </c>
      <c r="Z16" s="257">
        <v>1</v>
      </c>
      <c r="AA16" s="256" t="s">
        <v>134</v>
      </c>
      <c r="AB16" s="257" t="s">
        <v>130</v>
      </c>
      <c r="AC16" s="241"/>
      <c r="AD16" s="262"/>
      <c r="AE16" s="364" t="s">
        <v>190</v>
      </c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3">
        <v>1</v>
      </c>
      <c r="E17" s="214" t="s">
        <v>218</v>
      </c>
      <c r="F17" s="214" t="s">
        <v>218</v>
      </c>
      <c r="G17" s="283">
        <v>0</v>
      </c>
      <c r="H17" s="230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6">
        <v>0</v>
      </c>
      <c r="R17" s="256">
        <v>1</v>
      </c>
      <c r="S17" s="256">
        <v>0</v>
      </c>
      <c r="T17" s="256">
        <v>1</v>
      </c>
      <c r="U17" s="256">
        <v>0</v>
      </c>
      <c r="V17" s="256">
        <v>0</v>
      </c>
      <c r="W17" s="256">
        <v>1</v>
      </c>
      <c r="X17" s="255">
        <v>1</v>
      </c>
      <c r="Y17" s="257">
        <v>0</v>
      </c>
      <c r="Z17" s="257">
        <v>0</v>
      </c>
      <c r="AA17" s="256" t="s">
        <v>134</v>
      </c>
      <c r="AB17" s="257" t="s">
        <v>130</v>
      </c>
      <c r="AC17" s="241" t="s">
        <v>216</v>
      </c>
      <c r="AD17" s="261" t="s">
        <v>173</v>
      </c>
      <c r="AE17" s="364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3">
        <v>1</v>
      </c>
      <c r="E18" s="214" t="s">
        <v>218</v>
      </c>
      <c r="F18" s="214" t="s">
        <v>218</v>
      </c>
      <c r="G18" s="284">
        <v>0</v>
      </c>
      <c r="H18" s="230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59">
        <v>0</v>
      </c>
      <c r="R18" s="259">
        <v>1</v>
      </c>
      <c r="S18" s="259">
        <v>0</v>
      </c>
      <c r="T18" s="259">
        <v>1</v>
      </c>
      <c r="U18" s="259">
        <v>0</v>
      </c>
      <c r="V18" s="259">
        <v>0</v>
      </c>
      <c r="W18" s="259">
        <v>1</v>
      </c>
      <c r="X18" s="258">
        <v>1</v>
      </c>
      <c r="Y18" s="260">
        <v>1</v>
      </c>
      <c r="Z18" s="260">
        <v>0</v>
      </c>
      <c r="AA18" s="256" t="s">
        <v>134</v>
      </c>
      <c r="AB18" s="257" t="s">
        <v>130</v>
      </c>
      <c r="AC18" s="241"/>
      <c r="AD18" s="262"/>
      <c r="AE18" s="364" t="s">
        <v>186</v>
      </c>
      <c r="AG18" s="183" t="str">
        <f t="shared" si="0"/>
        <v xml:space="preserve">[1,x,x,0,x,0,1,1,1,1]-&gt;[0,1,0,1,0,0,1,1,1,0];   </v>
      </c>
    </row>
    <row r="19" spans="1:33" x14ac:dyDescent="0.25">
      <c r="A19" s="248"/>
      <c r="B19" s="191"/>
      <c r="C19" s="220" t="s">
        <v>135</v>
      </c>
      <c r="D19" s="283">
        <v>1</v>
      </c>
      <c r="E19" s="214" t="s">
        <v>218</v>
      </c>
      <c r="F19" s="214" t="s">
        <v>218</v>
      </c>
      <c r="G19" s="282">
        <v>0</v>
      </c>
      <c r="H19" s="230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220">
        <v>0</v>
      </c>
      <c r="R19" s="191">
        <v>1</v>
      </c>
      <c r="S19" s="22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3" t="s">
        <v>216</v>
      </c>
      <c r="AD19" s="357" t="s">
        <v>333</v>
      </c>
      <c r="AE19" s="364" t="s">
        <v>183</v>
      </c>
      <c r="AG19" s="183" t="str">
        <f t="shared" si="0"/>
        <v>[1,x,x,0,x,1,0,0,0,0]-&gt;[0,1,0,x,x,1,1,x,x,0];   "leer geblendet</v>
      </c>
    </row>
    <row r="20" spans="1:33" x14ac:dyDescent="0.25">
      <c r="A20" s="248"/>
      <c r="B20" s="191"/>
      <c r="C20" s="220" t="s">
        <v>135</v>
      </c>
      <c r="D20" s="283">
        <v>1</v>
      </c>
      <c r="E20" s="214" t="s">
        <v>218</v>
      </c>
      <c r="F20" s="214" t="s">
        <v>218</v>
      </c>
      <c r="G20" s="283">
        <v>0</v>
      </c>
      <c r="H20" s="230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220">
        <v>0</v>
      </c>
      <c r="R20" s="191">
        <v>1</v>
      </c>
      <c r="S20" s="221">
        <v>0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D20" s="250"/>
      <c r="AE20" s="364" t="s">
        <v>182</v>
      </c>
      <c r="AG20" s="183" t="str">
        <f t="shared" si="0"/>
        <v xml:space="preserve">[1,x,x,0,x,1,0,0,0,1]-&gt;[0,1,0,x,x,1,1,x,x,0];   </v>
      </c>
    </row>
    <row r="21" spans="1:33" x14ac:dyDescent="0.25">
      <c r="A21" s="248"/>
      <c r="B21" s="191"/>
      <c r="C21" s="220" t="s">
        <v>135</v>
      </c>
      <c r="D21" s="283">
        <v>1</v>
      </c>
      <c r="E21" s="214" t="s">
        <v>218</v>
      </c>
      <c r="F21" s="214" t="s">
        <v>218</v>
      </c>
      <c r="G21" s="283">
        <v>0</v>
      </c>
      <c r="H21" s="230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220">
        <v>0</v>
      </c>
      <c r="R21" s="191">
        <v>1</v>
      </c>
      <c r="S21" s="22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D21" s="250"/>
      <c r="AE21" s="364" t="s">
        <v>181</v>
      </c>
      <c r="AG21" s="183" t="str">
        <f t="shared" si="0"/>
        <v xml:space="preserve">[1,x,x,0,x,1,0,0,1,0]-&gt;[0,1,0,x,x,1,1,x,x,0];   </v>
      </c>
    </row>
    <row r="22" spans="1:33" x14ac:dyDescent="0.25">
      <c r="A22" s="248"/>
      <c r="B22" s="191"/>
      <c r="C22" s="220" t="s">
        <v>135</v>
      </c>
      <c r="D22" s="283">
        <v>1</v>
      </c>
      <c r="E22" s="214" t="s">
        <v>218</v>
      </c>
      <c r="F22" s="214" t="s">
        <v>218</v>
      </c>
      <c r="G22" s="283">
        <v>0</v>
      </c>
      <c r="H22" s="230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220">
        <v>0</v>
      </c>
      <c r="R22" s="191">
        <v>1</v>
      </c>
      <c r="S22" s="221">
        <v>0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D22" s="250"/>
      <c r="AE22" s="364" t="s">
        <v>180</v>
      </c>
      <c r="AG22" s="183" t="str">
        <f t="shared" si="0"/>
        <v xml:space="preserve">[1,x,x,0,x,1,0,0,1,1]-&gt;[0,1,0,x,x,1,1,x,x,0];   </v>
      </c>
    </row>
    <row r="23" spans="1:33" x14ac:dyDescent="0.25">
      <c r="A23" s="248"/>
      <c r="B23" s="191"/>
      <c r="C23" s="220" t="s">
        <v>135</v>
      </c>
      <c r="D23" s="283">
        <v>1</v>
      </c>
      <c r="E23" s="214" t="s">
        <v>218</v>
      </c>
      <c r="F23" s="214" t="s">
        <v>218</v>
      </c>
      <c r="G23" s="283">
        <v>0</v>
      </c>
      <c r="H23" s="230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220">
        <v>0</v>
      </c>
      <c r="R23" s="191">
        <v>1</v>
      </c>
      <c r="S23" s="22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D23" s="250"/>
      <c r="AE23" s="364" t="s">
        <v>178</v>
      </c>
      <c r="AG23" s="183" t="str">
        <f t="shared" si="0"/>
        <v xml:space="preserve">[1,x,x,0,x,1,0,1,0,0]-&gt;[0,1,0,x,x,1,1,x,x,0];   </v>
      </c>
    </row>
    <row r="24" spans="1:33" x14ac:dyDescent="0.25">
      <c r="A24" s="248"/>
      <c r="B24" s="191"/>
      <c r="C24" s="220" t="s">
        <v>135</v>
      </c>
      <c r="D24" s="283">
        <v>1</v>
      </c>
      <c r="E24" s="214" t="s">
        <v>218</v>
      </c>
      <c r="F24" s="214" t="s">
        <v>218</v>
      </c>
      <c r="G24" s="283">
        <v>0</v>
      </c>
      <c r="H24" s="230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220">
        <v>0</v>
      </c>
      <c r="R24" s="191">
        <v>1</v>
      </c>
      <c r="S24" s="221">
        <v>0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D24" s="250"/>
      <c r="AE24" s="364" t="s">
        <v>177</v>
      </c>
      <c r="AG24" s="183" t="str">
        <f t="shared" si="0"/>
        <v xml:space="preserve">[1,x,x,0,x,1,0,1,0,1]-&gt;[0,1,0,x,x,1,1,x,x,0];   </v>
      </c>
    </row>
    <row r="25" spans="1:33" x14ac:dyDescent="0.25">
      <c r="A25" s="248"/>
      <c r="B25" s="191"/>
      <c r="C25" s="220" t="s">
        <v>135</v>
      </c>
      <c r="D25" s="283">
        <v>1</v>
      </c>
      <c r="E25" s="214" t="s">
        <v>218</v>
      </c>
      <c r="F25" s="214" t="s">
        <v>218</v>
      </c>
      <c r="G25" s="283">
        <v>0</v>
      </c>
      <c r="H25" s="230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220">
        <v>0</v>
      </c>
      <c r="R25" s="191">
        <v>1</v>
      </c>
      <c r="S25" s="22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D25" s="250"/>
      <c r="AE25" s="364" t="s">
        <v>176</v>
      </c>
      <c r="AG25" s="183" t="str">
        <f t="shared" si="0"/>
        <v xml:space="preserve">[1,x,x,0,x,1,0,1,1,0]-&gt;[0,1,0,x,x,1,1,x,x,0];   </v>
      </c>
    </row>
    <row r="26" spans="1:33" ht="15.75" thickBot="1" x14ac:dyDescent="0.3">
      <c r="A26" s="248"/>
      <c r="B26" s="191"/>
      <c r="C26" s="220" t="s">
        <v>135</v>
      </c>
      <c r="D26" s="283">
        <v>1</v>
      </c>
      <c r="E26" s="214" t="s">
        <v>218</v>
      </c>
      <c r="F26" s="214" t="s">
        <v>218</v>
      </c>
      <c r="G26" s="284">
        <v>0</v>
      </c>
      <c r="H26" s="230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220">
        <v>0</v>
      </c>
      <c r="R26" s="191">
        <v>1</v>
      </c>
      <c r="S26" s="221">
        <v>0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D26" s="251"/>
      <c r="AE26" s="364" t="s">
        <v>175</v>
      </c>
      <c r="AG26" s="183" t="str">
        <f t="shared" si="0"/>
        <v xml:space="preserve">[1,x,x,0,x,1,0,1,1,1]-&gt;[0,1,0,x,x,1,1,x,x,0];   </v>
      </c>
    </row>
    <row r="27" spans="1:33" x14ac:dyDescent="0.25">
      <c r="A27" s="248"/>
      <c r="B27" s="191"/>
      <c r="C27" s="220" t="s">
        <v>135</v>
      </c>
      <c r="D27" s="283">
        <v>1</v>
      </c>
      <c r="E27" s="388">
        <v>0</v>
      </c>
      <c r="F27" s="214" t="s">
        <v>218</v>
      </c>
      <c r="G27" s="291">
        <v>0</v>
      </c>
      <c r="H27" s="230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358" t="s">
        <v>217</v>
      </c>
      <c r="AE27" s="364" t="s">
        <v>172</v>
      </c>
      <c r="AG27" s="183" t="str">
        <f t="shared" si="0"/>
        <v>[1,0,x,0,x,1,1,0,0,0]-&gt;[1,0,0,x,x,1,1,x,x,0];   "Low-Rom auf dem Board</v>
      </c>
    </row>
    <row r="28" spans="1:33" x14ac:dyDescent="0.25">
      <c r="A28" s="248"/>
      <c r="B28" s="191"/>
      <c r="C28" s="220" t="s">
        <v>135</v>
      </c>
      <c r="D28" s="283">
        <v>1</v>
      </c>
      <c r="E28" s="389">
        <v>0</v>
      </c>
      <c r="F28" s="214" t="s">
        <v>218</v>
      </c>
      <c r="G28" s="289">
        <v>0</v>
      </c>
      <c r="H28" s="230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359"/>
      <c r="AE28" s="364" t="s">
        <v>171</v>
      </c>
      <c r="AG28" s="183" t="str">
        <f t="shared" si="0"/>
        <v xml:space="preserve">[1,0,x,0,x,1,1,0,0,1]-&gt;[1,0,1,x,x,1,1,x,x,0];   </v>
      </c>
    </row>
    <row r="29" spans="1:33" x14ac:dyDescent="0.25">
      <c r="A29" s="248"/>
      <c r="B29" s="191"/>
      <c r="C29" s="220" t="s">
        <v>135</v>
      </c>
      <c r="D29" s="283">
        <v>1</v>
      </c>
      <c r="E29" s="389">
        <v>0</v>
      </c>
      <c r="F29" s="214" t="s">
        <v>218</v>
      </c>
      <c r="G29" s="289">
        <v>0</v>
      </c>
      <c r="H29" s="230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359"/>
      <c r="AE29" s="364" t="s">
        <v>170</v>
      </c>
      <c r="AG29" s="183" t="str">
        <f t="shared" si="0"/>
        <v xml:space="preserve">[1,0,x,0,x,1,1,0,1,0]-&gt;[1,1,0,x,x,1,1,x,x,0];   </v>
      </c>
    </row>
    <row r="30" spans="1:33" ht="15.75" thickBot="1" x14ac:dyDescent="0.3">
      <c r="A30" s="248"/>
      <c r="B30" s="191"/>
      <c r="C30" s="220" t="s">
        <v>135</v>
      </c>
      <c r="D30" s="283">
        <v>1</v>
      </c>
      <c r="E30" s="390">
        <v>0</v>
      </c>
      <c r="F30" s="214" t="s">
        <v>218</v>
      </c>
      <c r="G30" s="290">
        <v>0</v>
      </c>
      <c r="H30" s="230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360"/>
      <c r="AE30" s="364" t="s">
        <v>169</v>
      </c>
      <c r="AG30" s="183" t="str">
        <f t="shared" si="0"/>
        <v xml:space="preserve">[1,0,x,0,x,1,1,0,1,1]-&gt;[1,1,1,x,x,1,1,x,x,0];   </v>
      </c>
    </row>
    <row r="31" spans="1:33" x14ac:dyDescent="0.25">
      <c r="A31" s="248"/>
      <c r="B31" s="191"/>
      <c r="C31" s="220" t="s">
        <v>135</v>
      </c>
      <c r="D31" s="283">
        <v>1</v>
      </c>
      <c r="E31" s="214" t="s">
        <v>218</v>
      </c>
      <c r="F31" s="214" t="s">
        <v>218</v>
      </c>
      <c r="G31" s="282">
        <v>0</v>
      </c>
      <c r="H31" s="230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2">
        <v>0</v>
      </c>
      <c r="R31" s="253">
        <v>1</v>
      </c>
      <c r="S31" s="254">
        <v>0</v>
      </c>
      <c r="T31" s="255">
        <v>1</v>
      </c>
      <c r="U31" s="257">
        <v>1</v>
      </c>
      <c r="V31" s="255">
        <v>0</v>
      </c>
      <c r="W31" s="256">
        <v>1</v>
      </c>
      <c r="X31" s="255">
        <v>0</v>
      </c>
      <c r="Y31" s="257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88" t="s">
        <v>214</v>
      </c>
      <c r="AE31" s="364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/>
      <c r="B32" s="191"/>
      <c r="C32" s="220" t="s">
        <v>135</v>
      </c>
      <c r="D32" s="283">
        <v>1</v>
      </c>
      <c r="E32" s="214" t="s">
        <v>218</v>
      </c>
      <c r="F32" s="214" t="s">
        <v>218</v>
      </c>
      <c r="G32" s="283">
        <v>0</v>
      </c>
      <c r="H32" s="230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5">
        <v>0</v>
      </c>
      <c r="R32" s="256">
        <v>1</v>
      </c>
      <c r="S32" s="257">
        <v>0</v>
      </c>
      <c r="T32" s="255">
        <v>1</v>
      </c>
      <c r="U32" s="257">
        <v>1</v>
      </c>
      <c r="V32" s="255">
        <v>0</v>
      </c>
      <c r="W32" s="256">
        <v>1</v>
      </c>
      <c r="X32" s="255">
        <v>0</v>
      </c>
      <c r="Y32" s="257">
        <v>0</v>
      </c>
      <c r="Z32" s="191">
        <v>0</v>
      </c>
      <c r="AA32" s="191" t="s">
        <v>134</v>
      </c>
      <c r="AB32" s="221" t="s">
        <v>130</v>
      </c>
      <c r="AD32" s="280"/>
      <c r="AE32" s="364" t="s">
        <v>167</v>
      </c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3">
        <v>1</v>
      </c>
      <c r="E33" s="214" t="s">
        <v>218</v>
      </c>
      <c r="F33" s="214" t="s">
        <v>218</v>
      </c>
      <c r="G33" s="283">
        <v>0</v>
      </c>
      <c r="H33" s="230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5">
        <v>0</v>
      </c>
      <c r="R33" s="256">
        <v>1</v>
      </c>
      <c r="S33" s="257">
        <v>0</v>
      </c>
      <c r="T33" s="255">
        <v>1</v>
      </c>
      <c r="U33" s="257">
        <v>1</v>
      </c>
      <c r="V33" s="255">
        <v>0</v>
      </c>
      <c r="W33" s="256">
        <v>1</v>
      </c>
      <c r="X33" s="255">
        <v>0</v>
      </c>
      <c r="Y33" s="257">
        <v>0</v>
      </c>
      <c r="Z33" s="191">
        <v>0</v>
      </c>
      <c r="AA33" s="191" t="s">
        <v>134</v>
      </c>
      <c r="AB33" s="221" t="s">
        <v>130</v>
      </c>
      <c r="AC33" s="241"/>
      <c r="AD33" s="280"/>
      <c r="AE33" s="364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84">
        <v>1</v>
      </c>
      <c r="E34" s="229" t="s">
        <v>218</v>
      </c>
      <c r="F34" s="229" t="s">
        <v>218</v>
      </c>
      <c r="G34" s="284">
        <v>0</v>
      </c>
      <c r="H34" s="231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58">
        <v>0</v>
      </c>
      <c r="R34" s="259">
        <v>1</v>
      </c>
      <c r="S34" s="260">
        <v>0</v>
      </c>
      <c r="T34" s="258">
        <v>1</v>
      </c>
      <c r="U34" s="260">
        <v>1</v>
      </c>
      <c r="V34" s="258">
        <v>0</v>
      </c>
      <c r="W34" s="259">
        <v>1</v>
      </c>
      <c r="X34" s="258">
        <v>0</v>
      </c>
      <c r="Y34" s="260">
        <v>0</v>
      </c>
      <c r="Z34" s="223">
        <v>0</v>
      </c>
      <c r="AA34" s="223" t="s">
        <v>134</v>
      </c>
      <c r="AB34" s="225" t="s">
        <v>130</v>
      </c>
      <c r="AC34" s="241"/>
      <c r="AD34" s="262"/>
      <c r="AE34" s="365" t="s">
        <v>165</v>
      </c>
      <c r="AG34" s="183" t="str">
        <f t="shared" si="0"/>
        <v xml:space="preserve">[1,x,x,0,x,1,1,1,1,1]-&gt;[0,1,0,1,1,0,1,0,0,0];   </v>
      </c>
    </row>
    <row r="35" spans="1:33" ht="15.75" thickBot="1" x14ac:dyDescent="0.3">
      <c r="A35" s="248"/>
      <c r="B35" s="191"/>
      <c r="C35" s="220" t="s">
        <v>135</v>
      </c>
      <c r="D35" s="282">
        <v>1</v>
      </c>
      <c r="E35" s="228" t="s">
        <v>218</v>
      </c>
      <c r="F35" s="306">
        <v>0</v>
      </c>
      <c r="G35" s="228" t="s">
        <v>218</v>
      </c>
      <c r="H35" s="267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93">
        <v>0</v>
      </c>
      <c r="R35" s="294">
        <v>0</v>
      </c>
      <c r="S35" s="296">
        <v>0</v>
      </c>
      <c r="T35" s="233" t="s">
        <v>218</v>
      </c>
      <c r="U35" s="230" t="s">
        <v>218</v>
      </c>
      <c r="V35" s="222">
        <v>1</v>
      </c>
      <c r="W35" s="307">
        <v>1</v>
      </c>
      <c r="X35" s="232" t="s">
        <v>218</v>
      </c>
      <c r="Y35" s="267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358" t="s">
        <v>335</v>
      </c>
      <c r="AE35" s="363" t="s">
        <v>208</v>
      </c>
      <c r="AG35" s="183" t="str">
        <f t="shared" ref="AG35:AG99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[1,x,0,x,x,0,0,0,0,0]-&gt;[0,0,0,x,x,1,1,x,x,0];   "Ram OnBoard</v>
      </c>
    </row>
    <row r="36" spans="1:33" x14ac:dyDescent="0.25">
      <c r="A36" s="248"/>
      <c r="B36" s="191"/>
      <c r="C36" s="220" t="s">
        <v>135</v>
      </c>
      <c r="D36" s="281" t="s">
        <v>218</v>
      </c>
      <c r="E36" s="214" t="s">
        <v>218</v>
      </c>
      <c r="F36" s="214" t="s">
        <v>218</v>
      </c>
      <c r="G36" s="214" t="s">
        <v>218</v>
      </c>
      <c r="H36" s="230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358" t="s">
        <v>332</v>
      </c>
      <c r="AE36" s="364" t="s">
        <v>207</v>
      </c>
      <c r="AG36" s="183" t="str">
        <f t="shared" si="1"/>
        <v>[x,x,x,x,x,0,0,0,0,1]-&gt;[0,0,1,x,x,1,1,x,x,0];   "Codierung 1:1</v>
      </c>
    </row>
    <row r="37" spans="1:33" x14ac:dyDescent="0.25">
      <c r="A37" s="248"/>
      <c r="B37" s="191"/>
      <c r="C37" s="220" t="s">
        <v>135</v>
      </c>
      <c r="D37" s="281" t="s">
        <v>218</v>
      </c>
      <c r="E37" s="214" t="s">
        <v>218</v>
      </c>
      <c r="F37" s="214" t="s">
        <v>218</v>
      </c>
      <c r="G37" s="214" t="s">
        <v>218</v>
      </c>
      <c r="H37" s="230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D37" s="359"/>
      <c r="AE37" s="364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/>
      <c r="B38" s="191"/>
      <c r="C38" s="220" t="s">
        <v>135</v>
      </c>
      <c r="D38" s="281" t="s">
        <v>218</v>
      </c>
      <c r="E38" s="214" t="s">
        <v>218</v>
      </c>
      <c r="F38" s="214" t="s">
        <v>218</v>
      </c>
      <c r="G38" s="214" t="s">
        <v>218</v>
      </c>
      <c r="H38" s="230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D38" s="359"/>
      <c r="AE38" s="364" t="s">
        <v>205</v>
      </c>
      <c r="AG38" s="183" t="str">
        <f t="shared" si="1"/>
        <v xml:space="preserve">[x,x,x,x,x,0,0,0,1,1]-&gt;[0,1,1,x,x,1,1,x,x,0];   </v>
      </c>
    </row>
    <row r="39" spans="1:33" x14ac:dyDescent="0.25">
      <c r="A39" s="248"/>
      <c r="B39" s="191"/>
      <c r="C39" s="220" t="s">
        <v>135</v>
      </c>
      <c r="D39" s="281" t="s">
        <v>218</v>
      </c>
      <c r="E39" s="214" t="s">
        <v>218</v>
      </c>
      <c r="F39" s="214" t="s">
        <v>218</v>
      </c>
      <c r="G39" s="214" t="s">
        <v>218</v>
      </c>
      <c r="H39" s="230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D39" s="359"/>
      <c r="AE39" s="364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/>
      <c r="B40" s="191"/>
      <c r="C40" s="220" t="s">
        <v>135</v>
      </c>
      <c r="D40" s="281" t="s">
        <v>218</v>
      </c>
      <c r="E40" s="214" t="s">
        <v>218</v>
      </c>
      <c r="F40" s="214" t="s">
        <v>218</v>
      </c>
      <c r="G40" s="214" t="s">
        <v>218</v>
      </c>
      <c r="H40" s="230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D40" s="359"/>
      <c r="AE40" s="364" t="s">
        <v>200</v>
      </c>
      <c r="AG40" s="183" t="str">
        <f t="shared" si="1"/>
        <v xml:space="preserve">[x,x,x,x,x,0,0,1,0,1]-&gt;[0,0,1,x,x,1,1,x,x,0];   </v>
      </c>
    </row>
    <row r="41" spans="1:33" x14ac:dyDescent="0.25">
      <c r="A41" s="248"/>
      <c r="B41" s="191"/>
      <c r="C41" s="220" t="s">
        <v>135</v>
      </c>
      <c r="D41" s="281" t="s">
        <v>218</v>
      </c>
      <c r="E41" s="214" t="s">
        <v>218</v>
      </c>
      <c r="F41" s="214" t="s">
        <v>218</v>
      </c>
      <c r="G41" s="214" t="s">
        <v>218</v>
      </c>
      <c r="H41" s="230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D41" s="359"/>
      <c r="AE41" s="364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/>
      <c r="B42" s="191"/>
      <c r="C42" s="220" t="s">
        <v>135</v>
      </c>
      <c r="D42" s="387" t="s">
        <v>218</v>
      </c>
      <c r="E42" s="214" t="s">
        <v>218</v>
      </c>
      <c r="F42" s="214" t="s">
        <v>218</v>
      </c>
      <c r="G42" s="214" t="s">
        <v>218</v>
      </c>
      <c r="H42" s="230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D42" s="360"/>
      <c r="AE42" s="364" t="s">
        <v>198</v>
      </c>
      <c r="AG42" s="183" t="str">
        <f t="shared" si="1"/>
        <v xml:space="preserve">[x,x,x,x,x,0,0,1,1,1]-&gt;[0,1,1,x,x,1,1,x,x,0];   </v>
      </c>
    </row>
    <row r="43" spans="1:33" x14ac:dyDescent="0.25">
      <c r="A43" s="248"/>
      <c r="B43" s="191"/>
      <c r="C43" s="220" t="s">
        <v>135</v>
      </c>
      <c r="D43" s="282">
        <v>1</v>
      </c>
      <c r="E43" s="214" t="s">
        <v>218</v>
      </c>
      <c r="F43" s="214" t="s">
        <v>218</v>
      </c>
      <c r="G43" s="282">
        <v>0</v>
      </c>
      <c r="H43" s="230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6">
        <v>0</v>
      </c>
      <c r="R43" s="256">
        <v>1</v>
      </c>
      <c r="S43" s="256">
        <v>0</v>
      </c>
      <c r="T43" s="233" t="s">
        <v>218</v>
      </c>
      <c r="U43" s="230" t="s">
        <v>218</v>
      </c>
      <c r="V43" s="285">
        <v>1</v>
      </c>
      <c r="W43" s="291">
        <v>0</v>
      </c>
      <c r="X43" s="255">
        <v>0</v>
      </c>
      <c r="Y43" s="257">
        <v>0</v>
      </c>
      <c r="Z43" s="256">
        <v>0</v>
      </c>
      <c r="AA43" s="256" t="s">
        <v>134</v>
      </c>
      <c r="AB43" s="257" t="s">
        <v>130</v>
      </c>
      <c r="AC43" s="241" t="s">
        <v>216</v>
      </c>
      <c r="AD43" s="265" t="s">
        <v>226</v>
      </c>
      <c r="AE43" s="364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/>
      <c r="B44" s="191"/>
      <c r="C44" s="220" t="s">
        <v>135</v>
      </c>
      <c r="D44" s="283">
        <v>1</v>
      </c>
      <c r="E44" s="214" t="s">
        <v>218</v>
      </c>
      <c r="F44" s="214" t="s">
        <v>218</v>
      </c>
      <c r="G44" s="283">
        <v>0</v>
      </c>
      <c r="H44" s="230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6">
        <v>0</v>
      </c>
      <c r="R44" s="256">
        <v>1</v>
      </c>
      <c r="S44" s="256">
        <v>0</v>
      </c>
      <c r="T44" s="233" t="s">
        <v>218</v>
      </c>
      <c r="U44" s="230" t="s">
        <v>218</v>
      </c>
      <c r="V44" s="286">
        <v>1</v>
      </c>
      <c r="W44" s="289">
        <v>0</v>
      </c>
      <c r="X44" s="255">
        <v>0</v>
      </c>
      <c r="Y44" s="257">
        <v>0</v>
      </c>
      <c r="Z44" s="256">
        <v>0</v>
      </c>
      <c r="AA44" s="256" t="s">
        <v>134</v>
      </c>
      <c r="AB44" s="257" t="s">
        <v>130</v>
      </c>
      <c r="AC44" s="241"/>
      <c r="AD44" s="263"/>
      <c r="AE44" s="364" t="s">
        <v>195</v>
      </c>
      <c r="AG44" s="183" t="str">
        <f t="shared" si="1"/>
        <v xml:space="preserve">[1,x,x,0,x,0,1,0,0,1]-&gt;[0,1,0,x,x,1,0,0,0,0];   </v>
      </c>
    </row>
    <row r="45" spans="1:33" x14ac:dyDescent="0.25">
      <c r="A45" s="248"/>
      <c r="B45" s="191"/>
      <c r="C45" s="220" t="s">
        <v>135</v>
      </c>
      <c r="D45" s="283">
        <v>1</v>
      </c>
      <c r="E45" s="214" t="s">
        <v>218</v>
      </c>
      <c r="F45" s="214" t="s">
        <v>218</v>
      </c>
      <c r="G45" s="283">
        <v>0</v>
      </c>
      <c r="H45" s="230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6">
        <v>0</v>
      </c>
      <c r="R45" s="256">
        <v>1</v>
      </c>
      <c r="S45" s="256">
        <v>0</v>
      </c>
      <c r="T45" s="233" t="s">
        <v>218</v>
      </c>
      <c r="U45" s="230" t="s">
        <v>218</v>
      </c>
      <c r="V45" s="286">
        <v>1</v>
      </c>
      <c r="W45" s="289">
        <v>0</v>
      </c>
      <c r="X45" s="255">
        <v>0</v>
      </c>
      <c r="Y45" s="257">
        <v>0</v>
      </c>
      <c r="Z45" s="256">
        <v>0</v>
      </c>
      <c r="AA45" s="256" t="s">
        <v>134</v>
      </c>
      <c r="AB45" s="257" t="s">
        <v>130</v>
      </c>
      <c r="AC45" s="241"/>
      <c r="AD45" s="263"/>
      <c r="AE45" s="364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/>
      <c r="B46" s="191"/>
      <c r="C46" s="220" t="s">
        <v>135</v>
      </c>
      <c r="D46" s="283">
        <v>1</v>
      </c>
      <c r="E46" s="214" t="s">
        <v>218</v>
      </c>
      <c r="F46" s="214" t="s">
        <v>218</v>
      </c>
      <c r="G46" s="283">
        <v>0</v>
      </c>
      <c r="H46" s="230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6">
        <v>0</v>
      </c>
      <c r="R46" s="256">
        <v>1</v>
      </c>
      <c r="S46" s="256">
        <v>0</v>
      </c>
      <c r="T46" s="233" t="s">
        <v>218</v>
      </c>
      <c r="U46" s="230" t="s">
        <v>218</v>
      </c>
      <c r="V46" s="287">
        <v>1</v>
      </c>
      <c r="W46" s="290">
        <v>0</v>
      </c>
      <c r="X46" s="255">
        <v>0</v>
      </c>
      <c r="Y46" s="257">
        <v>0</v>
      </c>
      <c r="Z46" s="256">
        <v>0</v>
      </c>
      <c r="AA46" s="256" t="s">
        <v>134</v>
      </c>
      <c r="AB46" s="257" t="s">
        <v>130</v>
      </c>
      <c r="AC46" s="241"/>
      <c r="AD46" s="264"/>
      <c r="AE46" s="364" t="s">
        <v>193</v>
      </c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3">
        <v>1</v>
      </c>
      <c r="E47" s="214" t="s">
        <v>218</v>
      </c>
      <c r="F47" s="214" t="s">
        <v>218</v>
      </c>
      <c r="G47" s="283">
        <v>0</v>
      </c>
      <c r="H47" s="230" t="s">
        <v>218</v>
      </c>
      <c r="I47" s="217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3">
        <v>0</v>
      </c>
      <c r="R47" s="253">
        <v>1</v>
      </c>
      <c r="S47" s="253">
        <v>0</v>
      </c>
      <c r="T47" s="253">
        <v>1</v>
      </c>
      <c r="U47" s="253">
        <v>0</v>
      </c>
      <c r="V47" s="291">
        <v>0</v>
      </c>
      <c r="W47" s="285">
        <v>1</v>
      </c>
      <c r="X47" s="252">
        <v>0</v>
      </c>
      <c r="Y47" s="254">
        <v>0</v>
      </c>
      <c r="Z47" s="254">
        <v>0</v>
      </c>
      <c r="AA47" s="256" t="s">
        <v>134</v>
      </c>
      <c r="AB47" s="257" t="s">
        <v>130</v>
      </c>
      <c r="AC47" s="241" t="s">
        <v>216</v>
      </c>
      <c r="AD47" s="261" t="s">
        <v>174</v>
      </c>
      <c r="AE47" s="364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3">
        <v>1</v>
      </c>
      <c r="E48" s="214" t="s">
        <v>218</v>
      </c>
      <c r="F48" s="214" t="s">
        <v>218</v>
      </c>
      <c r="G48" s="283">
        <v>0</v>
      </c>
      <c r="H48" s="230" t="s">
        <v>218</v>
      </c>
      <c r="I48" s="191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6">
        <v>0</v>
      </c>
      <c r="R48" s="256">
        <v>1</v>
      </c>
      <c r="S48" s="256">
        <v>0</v>
      </c>
      <c r="T48" s="256">
        <v>1</v>
      </c>
      <c r="U48" s="256">
        <v>0</v>
      </c>
      <c r="V48" s="289">
        <v>0</v>
      </c>
      <c r="W48" s="286">
        <v>1</v>
      </c>
      <c r="X48" s="255">
        <v>0</v>
      </c>
      <c r="Y48" s="257">
        <v>0</v>
      </c>
      <c r="Z48" s="257">
        <v>1</v>
      </c>
      <c r="AA48" s="256" t="s">
        <v>134</v>
      </c>
      <c r="AB48" s="257" t="s">
        <v>130</v>
      </c>
      <c r="AC48" s="241"/>
      <c r="AD48" s="262"/>
      <c r="AE48" s="364" t="s">
        <v>190</v>
      </c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3">
        <v>1</v>
      </c>
      <c r="E49" s="214" t="s">
        <v>218</v>
      </c>
      <c r="F49" s="214" t="s">
        <v>218</v>
      </c>
      <c r="G49" s="283">
        <v>0</v>
      </c>
      <c r="H49" s="230" t="s">
        <v>218</v>
      </c>
      <c r="I49" s="191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6">
        <v>0</v>
      </c>
      <c r="R49" s="256">
        <v>1</v>
      </c>
      <c r="S49" s="256">
        <v>0</v>
      </c>
      <c r="T49" s="256">
        <v>1</v>
      </c>
      <c r="U49" s="256">
        <v>0</v>
      </c>
      <c r="V49" s="289">
        <v>0</v>
      </c>
      <c r="W49" s="286">
        <v>1</v>
      </c>
      <c r="X49" s="255">
        <v>1</v>
      </c>
      <c r="Y49" s="257">
        <v>0</v>
      </c>
      <c r="Z49" s="257">
        <v>0</v>
      </c>
      <c r="AA49" s="256" t="s">
        <v>134</v>
      </c>
      <c r="AB49" s="257" t="s">
        <v>130</v>
      </c>
      <c r="AC49" s="241" t="s">
        <v>216</v>
      </c>
      <c r="AD49" s="261" t="s">
        <v>173</v>
      </c>
      <c r="AE49" s="364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3">
        <v>1</v>
      </c>
      <c r="E50" s="214" t="s">
        <v>218</v>
      </c>
      <c r="F50" s="214" t="s">
        <v>218</v>
      </c>
      <c r="G50" s="284">
        <v>0</v>
      </c>
      <c r="H50" s="230" t="s">
        <v>218</v>
      </c>
      <c r="I50" s="223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59">
        <v>0</v>
      </c>
      <c r="R50" s="259">
        <v>1</v>
      </c>
      <c r="S50" s="259">
        <v>0</v>
      </c>
      <c r="T50" s="259">
        <v>1</v>
      </c>
      <c r="U50" s="259">
        <v>0</v>
      </c>
      <c r="V50" s="290">
        <v>0</v>
      </c>
      <c r="W50" s="287">
        <v>1</v>
      </c>
      <c r="X50" s="258">
        <v>1</v>
      </c>
      <c r="Y50" s="260">
        <v>1</v>
      </c>
      <c r="Z50" s="260">
        <v>0</v>
      </c>
      <c r="AA50" s="256" t="s">
        <v>134</v>
      </c>
      <c r="AB50" s="257" t="s">
        <v>130</v>
      </c>
      <c r="AC50" s="241"/>
      <c r="AD50" s="262"/>
      <c r="AE50" s="364" t="s">
        <v>186</v>
      </c>
      <c r="AG50" s="183" t="str">
        <f t="shared" si="1"/>
        <v xml:space="preserve">[1,x,x,0,x,0,1,1,1,1]-&gt;[0,1,0,1,0,0,1,1,1,0];   </v>
      </c>
    </row>
    <row r="51" spans="1:33" x14ac:dyDescent="0.25">
      <c r="A51" s="248"/>
      <c r="B51" s="191"/>
      <c r="C51" s="220" t="s">
        <v>135</v>
      </c>
      <c r="D51" s="283">
        <v>1</v>
      </c>
      <c r="E51" s="214" t="s">
        <v>218</v>
      </c>
      <c r="F51" s="214" t="s">
        <v>218</v>
      </c>
      <c r="G51" s="282">
        <v>0</v>
      </c>
      <c r="H51" s="230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220">
        <v>0</v>
      </c>
      <c r="R51" s="191">
        <v>1</v>
      </c>
      <c r="S51" s="22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67" t="s">
        <v>218</v>
      </c>
      <c r="Z51" s="191">
        <v>0</v>
      </c>
      <c r="AA51" s="191" t="s">
        <v>134</v>
      </c>
      <c r="AB51" s="221" t="s">
        <v>130</v>
      </c>
      <c r="AC51" s="243" t="s">
        <v>216</v>
      </c>
      <c r="AD51" s="357" t="s">
        <v>333</v>
      </c>
      <c r="AE51" s="364" t="s">
        <v>183</v>
      </c>
      <c r="AG51" s="183" t="str">
        <f t="shared" si="1"/>
        <v>[1,x,x,0,x,1,0,0,0,0]-&gt;[0,1,0,x,x,1,1,x,x,0];   "leer geblendet</v>
      </c>
    </row>
    <row r="52" spans="1:33" x14ac:dyDescent="0.25">
      <c r="A52" s="248"/>
      <c r="B52" s="191"/>
      <c r="C52" s="220" t="s">
        <v>135</v>
      </c>
      <c r="D52" s="283">
        <v>1</v>
      </c>
      <c r="E52" s="214" t="s">
        <v>218</v>
      </c>
      <c r="F52" s="214" t="s">
        <v>218</v>
      </c>
      <c r="G52" s="283">
        <v>0</v>
      </c>
      <c r="H52" s="230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220">
        <v>0</v>
      </c>
      <c r="R52" s="191">
        <v>1</v>
      </c>
      <c r="S52" s="221">
        <v>0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D52" s="250"/>
      <c r="AE52" s="364" t="s">
        <v>182</v>
      </c>
      <c r="AG52" s="183" t="str">
        <f t="shared" si="1"/>
        <v xml:space="preserve">[1,x,x,0,x,1,0,0,0,1]-&gt;[0,1,0,x,x,1,1,x,x,0];   </v>
      </c>
    </row>
    <row r="53" spans="1:33" x14ac:dyDescent="0.25">
      <c r="A53" s="248"/>
      <c r="B53" s="191"/>
      <c r="C53" s="220" t="s">
        <v>135</v>
      </c>
      <c r="D53" s="283">
        <v>1</v>
      </c>
      <c r="E53" s="214" t="s">
        <v>218</v>
      </c>
      <c r="F53" s="214" t="s">
        <v>218</v>
      </c>
      <c r="G53" s="283">
        <v>0</v>
      </c>
      <c r="H53" s="230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220">
        <v>0</v>
      </c>
      <c r="R53" s="191">
        <v>1</v>
      </c>
      <c r="S53" s="22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D53" s="250"/>
      <c r="AE53" s="364" t="s">
        <v>181</v>
      </c>
      <c r="AG53" s="183" t="str">
        <f t="shared" si="1"/>
        <v xml:space="preserve">[1,x,x,0,x,1,0,0,1,0]-&gt;[0,1,0,x,x,1,1,x,x,0];   </v>
      </c>
    </row>
    <row r="54" spans="1:33" x14ac:dyDescent="0.25">
      <c r="A54" s="248"/>
      <c r="B54" s="191"/>
      <c r="C54" s="220" t="s">
        <v>135</v>
      </c>
      <c r="D54" s="283">
        <v>1</v>
      </c>
      <c r="E54" s="214" t="s">
        <v>218</v>
      </c>
      <c r="F54" s="214" t="s">
        <v>218</v>
      </c>
      <c r="G54" s="283">
        <v>0</v>
      </c>
      <c r="H54" s="230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220">
        <v>0</v>
      </c>
      <c r="R54" s="191">
        <v>1</v>
      </c>
      <c r="S54" s="221">
        <v>0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D54" s="250"/>
      <c r="AE54" s="364" t="s">
        <v>180</v>
      </c>
      <c r="AG54" s="183" t="str">
        <f t="shared" si="1"/>
        <v xml:space="preserve">[1,x,x,0,x,1,0,0,1,1]-&gt;[0,1,0,x,x,1,1,x,x,0];   </v>
      </c>
    </row>
    <row r="55" spans="1:33" x14ac:dyDescent="0.25">
      <c r="A55" s="248"/>
      <c r="B55" s="191"/>
      <c r="C55" s="220" t="s">
        <v>135</v>
      </c>
      <c r="D55" s="283">
        <v>1</v>
      </c>
      <c r="E55" s="214" t="s">
        <v>218</v>
      </c>
      <c r="F55" s="214" t="s">
        <v>218</v>
      </c>
      <c r="G55" s="283">
        <v>0</v>
      </c>
      <c r="H55" s="230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220">
        <v>0</v>
      </c>
      <c r="R55" s="191">
        <v>1</v>
      </c>
      <c r="S55" s="22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D55" s="250"/>
      <c r="AE55" s="364" t="s">
        <v>178</v>
      </c>
      <c r="AG55" s="183" t="str">
        <f t="shared" si="1"/>
        <v xml:space="preserve">[1,x,x,0,x,1,0,1,0,0]-&gt;[0,1,0,x,x,1,1,x,x,0];   </v>
      </c>
    </row>
    <row r="56" spans="1:33" x14ac:dyDescent="0.25">
      <c r="A56" s="248"/>
      <c r="B56" s="191"/>
      <c r="C56" s="220" t="s">
        <v>135</v>
      </c>
      <c r="D56" s="283">
        <v>1</v>
      </c>
      <c r="E56" s="214" t="s">
        <v>218</v>
      </c>
      <c r="F56" s="214" t="s">
        <v>218</v>
      </c>
      <c r="G56" s="283">
        <v>0</v>
      </c>
      <c r="H56" s="230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220">
        <v>0</v>
      </c>
      <c r="R56" s="191">
        <v>1</v>
      </c>
      <c r="S56" s="221">
        <v>0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D56" s="250"/>
      <c r="AE56" s="364" t="s">
        <v>177</v>
      </c>
      <c r="AG56" s="183" t="str">
        <f t="shared" si="1"/>
        <v xml:space="preserve">[1,x,x,0,x,1,0,1,0,1]-&gt;[0,1,0,x,x,1,1,x,x,0];   </v>
      </c>
    </row>
    <row r="57" spans="1:33" x14ac:dyDescent="0.25">
      <c r="A57" s="248"/>
      <c r="B57" s="191"/>
      <c r="C57" s="220" t="s">
        <v>135</v>
      </c>
      <c r="D57" s="283">
        <v>1</v>
      </c>
      <c r="E57" s="214" t="s">
        <v>218</v>
      </c>
      <c r="F57" s="214" t="s">
        <v>218</v>
      </c>
      <c r="G57" s="283">
        <v>0</v>
      </c>
      <c r="H57" s="230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220">
        <v>0</v>
      </c>
      <c r="R57" s="191">
        <v>1</v>
      </c>
      <c r="S57" s="22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D57" s="250"/>
      <c r="AE57" s="364" t="s">
        <v>176</v>
      </c>
      <c r="AG57" s="183" t="str">
        <f t="shared" si="1"/>
        <v xml:space="preserve">[1,x,x,0,x,1,0,1,1,0]-&gt;[0,1,0,x,x,1,1,x,x,0];   </v>
      </c>
    </row>
    <row r="58" spans="1:33" ht="15.75" thickBot="1" x14ac:dyDescent="0.3">
      <c r="A58" s="248"/>
      <c r="B58" s="191"/>
      <c r="C58" s="220" t="s">
        <v>135</v>
      </c>
      <c r="D58" s="283">
        <v>1</v>
      </c>
      <c r="E58" s="214" t="s">
        <v>218</v>
      </c>
      <c r="F58" s="214" t="s">
        <v>218</v>
      </c>
      <c r="G58" s="284">
        <v>0</v>
      </c>
      <c r="H58" s="230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220">
        <v>0</v>
      </c>
      <c r="R58" s="191">
        <v>1</v>
      </c>
      <c r="S58" s="221">
        <v>0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D58" s="251"/>
      <c r="AE58" s="364" t="s">
        <v>175</v>
      </c>
      <c r="AG58" s="183" t="str">
        <f t="shared" si="1"/>
        <v xml:space="preserve">[1,x,x,0,x,1,0,1,1,1]-&gt;[0,1,0,x,x,1,1,x,x,0];   </v>
      </c>
    </row>
    <row r="59" spans="1:33" x14ac:dyDescent="0.25">
      <c r="A59" s="248"/>
      <c r="B59" s="191"/>
      <c r="C59" s="220" t="s">
        <v>135</v>
      </c>
      <c r="D59" s="283">
        <v>1</v>
      </c>
      <c r="E59" s="303">
        <v>1</v>
      </c>
      <c r="F59" s="214" t="s">
        <v>218</v>
      </c>
      <c r="G59" s="291">
        <v>0</v>
      </c>
      <c r="H59" s="230" t="s">
        <v>218</v>
      </c>
      <c r="I59" s="217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03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299" t="s">
        <v>270</v>
      </c>
      <c r="AE59" s="364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/>
      <c r="B60" s="191"/>
      <c r="C60" s="220" t="s">
        <v>135</v>
      </c>
      <c r="D60" s="283">
        <v>1</v>
      </c>
      <c r="E60" s="304">
        <v>1</v>
      </c>
      <c r="F60" s="214" t="s">
        <v>218</v>
      </c>
      <c r="G60" s="289">
        <v>0</v>
      </c>
      <c r="H60" s="230" t="s">
        <v>218</v>
      </c>
      <c r="I60" s="191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04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0"/>
      <c r="AE60" s="364" t="s">
        <v>171</v>
      </c>
      <c r="AG60" s="183" t="str">
        <f t="shared" si="1"/>
        <v xml:space="preserve">[1,1,x,0,x,1,1,0,0,1]-&gt;[0,1,0,0,0,0,1,0,0,0];   </v>
      </c>
    </row>
    <row r="61" spans="1:33" x14ac:dyDescent="0.25">
      <c r="A61" s="248"/>
      <c r="B61" s="191"/>
      <c r="C61" s="220" t="s">
        <v>135</v>
      </c>
      <c r="D61" s="283">
        <v>1</v>
      </c>
      <c r="E61" s="304">
        <v>1</v>
      </c>
      <c r="F61" s="214" t="s">
        <v>218</v>
      </c>
      <c r="G61" s="289">
        <v>0</v>
      </c>
      <c r="H61" s="230" t="s">
        <v>218</v>
      </c>
      <c r="I61" s="191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04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0"/>
      <c r="AE61" s="364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3">
        <v>1</v>
      </c>
      <c r="E62" s="305">
        <v>1</v>
      </c>
      <c r="F62" s="214" t="s">
        <v>218</v>
      </c>
      <c r="G62" s="290">
        <v>0</v>
      </c>
      <c r="H62" s="230" t="s">
        <v>218</v>
      </c>
      <c r="I62" s="223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05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01"/>
      <c r="AE62" s="364" t="s">
        <v>169</v>
      </c>
      <c r="AG62" s="183" t="str">
        <f t="shared" si="1"/>
        <v xml:space="preserve">[1,1,x,0,x,1,1,0,1,1]-&gt;[0,1,0,0,0,0,1,0,0,0];   </v>
      </c>
    </row>
    <row r="63" spans="1:33" x14ac:dyDescent="0.25">
      <c r="A63" s="248"/>
      <c r="B63" s="191"/>
      <c r="C63" s="220" t="s">
        <v>135</v>
      </c>
      <c r="D63" s="283">
        <v>1</v>
      </c>
      <c r="E63" s="214" t="s">
        <v>218</v>
      </c>
      <c r="F63" s="214" t="s">
        <v>218</v>
      </c>
      <c r="G63" s="282">
        <v>0</v>
      </c>
      <c r="H63" s="230" t="s">
        <v>218</v>
      </c>
      <c r="I63" s="217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5">
        <v>0</v>
      </c>
      <c r="R63" s="256">
        <v>1</v>
      </c>
      <c r="S63" s="257">
        <v>0</v>
      </c>
      <c r="T63" s="255">
        <v>1</v>
      </c>
      <c r="U63" s="257">
        <v>1</v>
      </c>
      <c r="V63" s="289">
        <v>0</v>
      </c>
      <c r="W63" s="191">
        <v>1</v>
      </c>
      <c r="X63" s="255">
        <v>0</v>
      </c>
      <c r="Y63" s="257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88" t="s">
        <v>214</v>
      </c>
      <c r="AE63" s="364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/>
      <c r="B64" s="191"/>
      <c r="C64" s="220" t="s">
        <v>135</v>
      </c>
      <c r="D64" s="283">
        <v>1</v>
      </c>
      <c r="E64" s="214" t="s">
        <v>218</v>
      </c>
      <c r="F64" s="214" t="s">
        <v>218</v>
      </c>
      <c r="G64" s="283">
        <v>0</v>
      </c>
      <c r="H64" s="230" t="s">
        <v>218</v>
      </c>
      <c r="I64" s="191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5">
        <v>0</v>
      </c>
      <c r="R64" s="256">
        <v>1</v>
      </c>
      <c r="S64" s="257">
        <v>0</v>
      </c>
      <c r="T64" s="255">
        <v>1</v>
      </c>
      <c r="U64" s="257">
        <v>1</v>
      </c>
      <c r="V64" s="289">
        <v>0</v>
      </c>
      <c r="W64" s="191">
        <v>1</v>
      </c>
      <c r="X64" s="255">
        <v>0</v>
      </c>
      <c r="Y64" s="257">
        <v>0</v>
      </c>
      <c r="Z64" s="191">
        <v>0</v>
      </c>
      <c r="AA64" s="191" t="s">
        <v>134</v>
      </c>
      <c r="AB64" s="221" t="s">
        <v>130</v>
      </c>
      <c r="AD64" s="280"/>
      <c r="AE64" s="364" t="s">
        <v>167</v>
      </c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3">
        <v>1</v>
      </c>
      <c r="E65" s="214" t="s">
        <v>218</v>
      </c>
      <c r="F65" s="214" t="s">
        <v>218</v>
      </c>
      <c r="G65" s="283">
        <v>0</v>
      </c>
      <c r="H65" s="230" t="s">
        <v>218</v>
      </c>
      <c r="I65" s="191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5">
        <v>0</v>
      </c>
      <c r="R65" s="256">
        <v>1</v>
      </c>
      <c r="S65" s="257">
        <v>0</v>
      </c>
      <c r="T65" s="255">
        <v>1</v>
      </c>
      <c r="U65" s="257">
        <v>1</v>
      </c>
      <c r="V65" s="289">
        <v>0</v>
      </c>
      <c r="W65" s="191">
        <v>1</v>
      </c>
      <c r="X65" s="255">
        <v>0</v>
      </c>
      <c r="Y65" s="257">
        <v>0</v>
      </c>
      <c r="Z65" s="191">
        <v>0</v>
      </c>
      <c r="AA65" s="191" t="s">
        <v>134</v>
      </c>
      <c r="AB65" s="221" t="s">
        <v>130</v>
      </c>
      <c r="AC65" s="241"/>
      <c r="AD65" s="280"/>
      <c r="AE65" s="364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83">
        <v>1</v>
      </c>
      <c r="E66" s="214" t="s">
        <v>218</v>
      </c>
      <c r="F66" s="214" t="s">
        <v>218</v>
      </c>
      <c r="G66" s="283">
        <v>0</v>
      </c>
      <c r="H66" s="230" t="s">
        <v>218</v>
      </c>
      <c r="I66" s="191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5">
        <v>0</v>
      </c>
      <c r="R66" s="256">
        <v>1</v>
      </c>
      <c r="S66" s="257">
        <v>0</v>
      </c>
      <c r="T66" s="255">
        <v>1</v>
      </c>
      <c r="U66" s="257">
        <v>1</v>
      </c>
      <c r="V66" s="289">
        <v>0</v>
      </c>
      <c r="W66" s="191">
        <v>1</v>
      </c>
      <c r="X66" s="255">
        <v>0</v>
      </c>
      <c r="Y66" s="257">
        <v>0</v>
      </c>
      <c r="Z66" s="191">
        <v>0</v>
      </c>
      <c r="AA66" s="191" t="s">
        <v>134</v>
      </c>
      <c r="AB66" s="221" t="s">
        <v>130</v>
      </c>
      <c r="AC66" s="241"/>
      <c r="AD66" s="280"/>
      <c r="AE66" s="364" t="s">
        <v>165</v>
      </c>
      <c r="AG66" s="183" t="str">
        <f t="shared" si="1"/>
        <v xml:space="preserve">[1,x,x,0,x,1,1,1,1,1]-&gt;[0,1,0,1,1,0,1,0,0,0];   </v>
      </c>
    </row>
    <row r="67" spans="1:33" ht="15.75" thickBot="1" x14ac:dyDescent="0.3">
      <c r="A67" s="248"/>
      <c r="B67" s="191"/>
      <c r="C67" s="216" t="s">
        <v>135</v>
      </c>
      <c r="D67" s="273">
        <v>1</v>
      </c>
      <c r="E67" s="228" t="s">
        <v>218</v>
      </c>
      <c r="F67" s="306">
        <v>1</v>
      </c>
      <c r="G67" s="228" t="s">
        <v>218</v>
      </c>
      <c r="H67" s="267" t="s">
        <v>218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191">
        <v>0</v>
      </c>
      <c r="R67" s="191">
        <v>1</v>
      </c>
      <c r="S67" s="191">
        <v>0</v>
      </c>
      <c r="T67" s="233" t="s">
        <v>218</v>
      </c>
      <c r="U67" s="230" t="s">
        <v>218</v>
      </c>
      <c r="V67" s="222">
        <v>1</v>
      </c>
      <c r="W67" s="379">
        <v>0</v>
      </c>
      <c r="X67" s="266">
        <v>0</v>
      </c>
      <c r="Y67" s="292">
        <v>0</v>
      </c>
      <c r="Z67" s="225">
        <v>0</v>
      </c>
      <c r="AA67" s="217" t="s">
        <v>134</v>
      </c>
      <c r="AB67" s="219" t="s">
        <v>130</v>
      </c>
      <c r="AC67" s="382" t="s">
        <v>216</v>
      </c>
      <c r="AD67" s="386" t="s">
        <v>336</v>
      </c>
      <c r="AE67" s="367" t="s">
        <v>208</v>
      </c>
      <c r="AG67" s="183" t="str">
        <f t="shared" ref="AG67:AG98" si="2">C67&amp;D67&amp;","&amp;E67&amp;","&amp;F67&amp;","&amp;G67&amp;","&amp;H67&amp;","&amp;I67&amp;","&amp;J67&amp;","&amp;K67&amp;","&amp;L67&amp;","&amp;M67&amp;N67&amp;O67&amp;P67&amp;Q67&amp;","&amp;R67&amp;","&amp;S67&amp;","&amp;T67&amp;","&amp;U67&amp;","&amp;V67&amp;","&amp;W67&amp;","&amp;X67&amp;","&amp;Y67&amp;","&amp;Z67&amp;AA67&amp;AB67&amp;"   "&amp;AC67&amp;AD67</f>
        <v>[1,x,1,x,x,0,0,0,0,0]-&gt;[0,1,0,x,x,1,0,0,0,0];   "Ram ProfDos</v>
      </c>
    </row>
    <row r="68" spans="1:33" x14ac:dyDescent="0.25">
      <c r="A68" s="248"/>
      <c r="B68" s="191"/>
      <c r="C68" s="220" t="s">
        <v>135</v>
      </c>
      <c r="D68" s="233" t="s">
        <v>218</v>
      </c>
      <c r="E68" s="214" t="s">
        <v>218</v>
      </c>
      <c r="F68" s="214" t="s">
        <v>218</v>
      </c>
      <c r="G68" s="214" t="s">
        <v>218</v>
      </c>
      <c r="H68" s="230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22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358" t="s">
        <v>331</v>
      </c>
      <c r="AE68" s="368" t="s">
        <v>207</v>
      </c>
      <c r="AG68" s="183" t="str">
        <f t="shared" si="2"/>
        <v>[x,x,x,x,x,0,0,0,0,1]-&gt;[0,0,1,x,x,1,1,x,x,0];   "Original 1:1</v>
      </c>
    </row>
    <row r="69" spans="1:33" x14ac:dyDescent="0.25">
      <c r="A69" s="248"/>
      <c r="B69" s="191"/>
      <c r="C69" s="220" t="s">
        <v>135</v>
      </c>
      <c r="D69" s="233" t="s">
        <v>218</v>
      </c>
      <c r="E69" s="214" t="s">
        <v>218</v>
      </c>
      <c r="F69" s="214" t="s">
        <v>218</v>
      </c>
      <c r="G69" s="214" t="s">
        <v>218</v>
      </c>
      <c r="H69" s="230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22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D69" s="359"/>
      <c r="AE69" s="368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8"/>
      <c r="B70" s="191"/>
      <c r="C70" s="220" t="s">
        <v>135</v>
      </c>
      <c r="D70" s="233" t="s">
        <v>218</v>
      </c>
      <c r="E70" s="214" t="s">
        <v>218</v>
      </c>
      <c r="F70" s="214" t="s">
        <v>218</v>
      </c>
      <c r="G70" s="214" t="s">
        <v>218</v>
      </c>
      <c r="H70" s="230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22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D70" s="359"/>
      <c r="AE70" s="368" t="s">
        <v>205</v>
      </c>
      <c r="AG70" s="183" t="str">
        <f t="shared" si="2"/>
        <v xml:space="preserve">[x,x,x,x,x,0,0,0,1,1]-&gt;[0,1,1,x,x,1,1,x,x,0];   </v>
      </c>
    </row>
    <row r="71" spans="1:33" x14ac:dyDescent="0.25">
      <c r="A71" s="248"/>
      <c r="B71" s="191"/>
      <c r="C71" s="220" t="s">
        <v>135</v>
      </c>
      <c r="D71" s="233" t="s">
        <v>218</v>
      </c>
      <c r="E71" s="214" t="s">
        <v>218</v>
      </c>
      <c r="F71" s="214" t="s">
        <v>218</v>
      </c>
      <c r="G71" s="214" t="s">
        <v>218</v>
      </c>
      <c r="H71" s="230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22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D71" s="359"/>
      <c r="AE71" s="368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8"/>
      <c r="B72" s="191"/>
      <c r="C72" s="220" t="s">
        <v>135</v>
      </c>
      <c r="D72" s="233" t="s">
        <v>218</v>
      </c>
      <c r="E72" s="214" t="s">
        <v>218</v>
      </c>
      <c r="F72" s="214" t="s">
        <v>218</v>
      </c>
      <c r="G72" s="214" t="s">
        <v>218</v>
      </c>
      <c r="H72" s="230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22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D72" s="359"/>
      <c r="AE72" s="368" t="s">
        <v>200</v>
      </c>
      <c r="AG72" s="183" t="str">
        <f t="shared" si="2"/>
        <v xml:space="preserve">[x,x,x,x,x,0,0,1,0,1]-&gt;[0,0,1,x,x,1,1,x,x,0];   </v>
      </c>
    </row>
    <row r="73" spans="1:33" x14ac:dyDescent="0.25">
      <c r="A73" s="248"/>
      <c r="B73" s="191"/>
      <c r="C73" s="220" t="s">
        <v>135</v>
      </c>
      <c r="D73" s="233" t="s">
        <v>218</v>
      </c>
      <c r="E73" s="214" t="s">
        <v>218</v>
      </c>
      <c r="F73" s="214" t="s">
        <v>218</v>
      </c>
      <c r="G73" s="214" t="s">
        <v>218</v>
      </c>
      <c r="H73" s="230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22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D73" s="359"/>
      <c r="AE73" s="368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8"/>
      <c r="B74" s="191"/>
      <c r="C74" s="220" t="s">
        <v>135</v>
      </c>
      <c r="D74" s="234" t="s">
        <v>218</v>
      </c>
      <c r="E74" s="214" t="s">
        <v>218</v>
      </c>
      <c r="F74" s="214" t="s">
        <v>218</v>
      </c>
      <c r="G74" s="214" t="s">
        <v>218</v>
      </c>
      <c r="H74" s="230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22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D74" s="360"/>
      <c r="AE74" s="368" t="s">
        <v>198</v>
      </c>
      <c r="AG74" s="183" t="str">
        <f t="shared" si="2"/>
        <v xml:space="preserve">[x,x,x,x,x,0,0,1,1,1]-&gt;[0,1,1,x,x,1,1,x,x,0];   </v>
      </c>
    </row>
    <row r="75" spans="1:33" x14ac:dyDescent="0.25">
      <c r="A75" s="248"/>
      <c r="B75" s="191"/>
      <c r="C75" s="220" t="s">
        <v>135</v>
      </c>
      <c r="D75" s="282">
        <v>1</v>
      </c>
      <c r="E75" s="233" t="s">
        <v>218</v>
      </c>
      <c r="F75" s="214" t="s">
        <v>218</v>
      </c>
      <c r="G75" s="282">
        <v>1</v>
      </c>
      <c r="H75" s="230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22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D75" s="369"/>
      <c r="AE75" s="368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248"/>
      <c r="B76" s="191"/>
      <c r="C76" s="220" t="s">
        <v>135</v>
      </c>
      <c r="D76" s="283">
        <v>1</v>
      </c>
      <c r="E76" s="233" t="s">
        <v>218</v>
      </c>
      <c r="F76" s="214" t="s">
        <v>218</v>
      </c>
      <c r="G76" s="283">
        <v>1</v>
      </c>
      <c r="H76" s="230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22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D76" s="369"/>
      <c r="AE76" s="368" t="s">
        <v>195</v>
      </c>
      <c r="AG76" s="183" t="str">
        <f t="shared" si="2"/>
        <v xml:space="preserve">[1,x,x,1,x,0,1,0,0,1]-&gt;[0,0,1,x,x,1,1,x,x,0];   </v>
      </c>
    </row>
    <row r="77" spans="1:33" x14ac:dyDescent="0.25">
      <c r="A77" s="248"/>
      <c r="B77" s="191"/>
      <c r="C77" s="220" t="s">
        <v>135</v>
      </c>
      <c r="D77" s="283">
        <v>1</v>
      </c>
      <c r="E77" s="233" t="s">
        <v>218</v>
      </c>
      <c r="F77" s="214" t="s">
        <v>218</v>
      </c>
      <c r="G77" s="283">
        <v>1</v>
      </c>
      <c r="H77" s="230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22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D77" s="369"/>
      <c r="AE77" s="368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248"/>
      <c r="B78" s="191"/>
      <c r="C78" s="220" t="s">
        <v>135</v>
      </c>
      <c r="D78" s="283">
        <v>1</v>
      </c>
      <c r="E78" s="233" t="s">
        <v>218</v>
      </c>
      <c r="F78" s="214" t="s">
        <v>218</v>
      </c>
      <c r="G78" s="283">
        <v>1</v>
      </c>
      <c r="H78" s="230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22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D78" s="369"/>
      <c r="AE78" s="368" t="s">
        <v>193</v>
      </c>
      <c r="AG78" s="183" t="str">
        <f t="shared" si="2"/>
        <v xml:space="preserve">[1,x,x,1,x,0,1,0,1,1]-&gt;[0,1,1,x,x,1,1,x,x,0];   </v>
      </c>
    </row>
    <row r="79" spans="1:33" x14ac:dyDescent="0.25">
      <c r="A79" s="248"/>
      <c r="B79" s="191"/>
      <c r="C79" s="220" t="s">
        <v>135</v>
      </c>
      <c r="D79" s="283">
        <v>1</v>
      </c>
      <c r="E79" s="233" t="s">
        <v>218</v>
      </c>
      <c r="F79" s="214" t="s">
        <v>218</v>
      </c>
      <c r="G79" s="283">
        <v>1</v>
      </c>
      <c r="H79" s="230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22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D79" s="369"/>
      <c r="AE79" s="368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248"/>
      <c r="B80" s="191"/>
      <c r="C80" s="220" t="s">
        <v>135</v>
      </c>
      <c r="D80" s="283">
        <v>1</v>
      </c>
      <c r="E80" s="233" t="s">
        <v>218</v>
      </c>
      <c r="F80" s="214" t="s">
        <v>218</v>
      </c>
      <c r="G80" s="283">
        <v>1</v>
      </c>
      <c r="H80" s="230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22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D80" s="369"/>
      <c r="AE80" s="368" t="s">
        <v>190</v>
      </c>
      <c r="AG80" s="183" t="str">
        <f t="shared" si="2"/>
        <v xml:space="preserve">[1,x,x,1,x,0,1,1,0,1]-&gt;[0,0,1,x,x,1,1,x,x,0];   </v>
      </c>
    </row>
    <row r="81" spans="1:33" x14ac:dyDescent="0.25">
      <c r="A81" s="248"/>
      <c r="B81" s="191"/>
      <c r="C81" s="220" t="s">
        <v>135</v>
      </c>
      <c r="D81" s="283">
        <v>1</v>
      </c>
      <c r="E81" s="233" t="s">
        <v>218</v>
      </c>
      <c r="F81" s="214" t="s">
        <v>218</v>
      </c>
      <c r="G81" s="283">
        <v>1</v>
      </c>
      <c r="H81" s="230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22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D81" s="369"/>
      <c r="AE81" s="368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248"/>
      <c r="B82" s="191"/>
      <c r="C82" s="220" t="s">
        <v>135</v>
      </c>
      <c r="D82" s="283">
        <v>1</v>
      </c>
      <c r="E82" s="233" t="s">
        <v>218</v>
      </c>
      <c r="F82" s="214" t="s">
        <v>218</v>
      </c>
      <c r="G82" s="284">
        <v>1</v>
      </c>
      <c r="H82" s="230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22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D82" s="369"/>
      <c r="AE82" s="368" t="s">
        <v>186</v>
      </c>
      <c r="AG82" s="183" t="str">
        <f t="shared" si="2"/>
        <v xml:space="preserve">[1,x,x,1,x,0,1,1,1,1]-&gt;[0,1,1,x,x,1,1,x,x,0];   </v>
      </c>
    </row>
    <row r="83" spans="1:33" x14ac:dyDescent="0.25">
      <c r="A83" s="248"/>
      <c r="B83" s="191"/>
      <c r="C83" s="220" t="s">
        <v>135</v>
      </c>
      <c r="D83" s="283">
        <v>1</v>
      </c>
      <c r="E83" s="233" t="s">
        <v>218</v>
      </c>
      <c r="F83" s="214" t="s">
        <v>218</v>
      </c>
      <c r="G83" s="282">
        <v>1</v>
      </c>
      <c r="H83" s="388">
        <v>1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22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D83" s="370"/>
      <c r="AE83" s="368" t="s">
        <v>183</v>
      </c>
      <c r="AG83" s="183" t="str">
        <f t="shared" si="2"/>
        <v xml:space="preserve">[1,x,x,1,1,1,0,0,0,0]-&gt;[1,0,0,x,x,1,1,x,x,0];   </v>
      </c>
    </row>
    <row r="84" spans="1:33" x14ac:dyDescent="0.25">
      <c r="A84" s="248"/>
      <c r="B84" s="191"/>
      <c r="C84" s="220" t="s">
        <v>135</v>
      </c>
      <c r="D84" s="283">
        <v>1</v>
      </c>
      <c r="E84" s="233" t="s">
        <v>218</v>
      </c>
      <c r="F84" s="214" t="s">
        <v>218</v>
      </c>
      <c r="G84" s="283">
        <v>1</v>
      </c>
      <c r="H84" s="389">
        <v>1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22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D84" s="369"/>
      <c r="AE84" s="368" t="s">
        <v>182</v>
      </c>
      <c r="AG84" s="183" t="str">
        <f t="shared" si="2"/>
        <v xml:space="preserve">[1,x,x,1,1,1,0,0,0,1]-&gt;[1,0,1,x,x,1,1,x,x,0];   </v>
      </c>
    </row>
    <row r="85" spans="1:33" x14ac:dyDescent="0.25">
      <c r="A85" s="248"/>
      <c r="B85" s="191"/>
      <c r="C85" s="220" t="s">
        <v>135</v>
      </c>
      <c r="D85" s="283">
        <v>1</v>
      </c>
      <c r="E85" s="233" t="s">
        <v>218</v>
      </c>
      <c r="F85" s="214" t="s">
        <v>218</v>
      </c>
      <c r="G85" s="283">
        <v>1</v>
      </c>
      <c r="H85" s="389">
        <v>1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22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D85" s="369"/>
      <c r="AE85" s="368" t="s">
        <v>181</v>
      </c>
      <c r="AG85" s="183" t="str">
        <f t="shared" si="2"/>
        <v xml:space="preserve">[1,x,x,1,1,1,0,0,1,0]-&gt;[1,1,0,x,x,1,1,x,x,0];   </v>
      </c>
    </row>
    <row r="86" spans="1:33" x14ac:dyDescent="0.25">
      <c r="A86" s="248"/>
      <c r="B86" s="191"/>
      <c r="C86" s="220" t="s">
        <v>135</v>
      </c>
      <c r="D86" s="283">
        <v>1</v>
      </c>
      <c r="E86" s="233" t="s">
        <v>218</v>
      </c>
      <c r="F86" s="214" t="s">
        <v>218</v>
      </c>
      <c r="G86" s="283">
        <v>1</v>
      </c>
      <c r="H86" s="389">
        <v>1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22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D86" s="371"/>
      <c r="AE86" s="368" t="s">
        <v>180</v>
      </c>
      <c r="AG86" s="183" t="str">
        <f t="shared" si="2"/>
        <v xml:space="preserve">[1,x,x,1,1,1,0,0,1,1]-&gt;[1,1,1,x,x,1,1,x,x,0];   </v>
      </c>
    </row>
    <row r="87" spans="1:33" x14ac:dyDescent="0.25">
      <c r="A87" s="248"/>
      <c r="B87" s="191"/>
      <c r="C87" s="220" t="s">
        <v>135</v>
      </c>
      <c r="D87" s="283">
        <v>1</v>
      </c>
      <c r="E87" s="233" t="s">
        <v>218</v>
      </c>
      <c r="F87" s="214" t="s">
        <v>218</v>
      </c>
      <c r="G87" s="283">
        <v>1</v>
      </c>
      <c r="H87" s="389">
        <v>1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22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D87" s="369"/>
      <c r="AE87" s="368" t="s">
        <v>178</v>
      </c>
      <c r="AG87" s="183" t="str">
        <f t="shared" si="2"/>
        <v xml:space="preserve">[1,x,x,1,1,1,0,1,0,0]-&gt;[1,0,0,x,x,1,1,x,x,0];   </v>
      </c>
    </row>
    <row r="88" spans="1:33" x14ac:dyDescent="0.25">
      <c r="A88" s="248"/>
      <c r="B88" s="191"/>
      <c r="C88" s="220" t="s">
        <v>135</v>
      </c>
      <c r="D88" s="283">
        <v>1</v>
      </c>
      <c r="E88" s="233" t="s">
        <v>218</v>
      </c>
      <c r="F88" s="214" t="s">
        <v>218</v>
      </c>
      <c r="G88" s="283">
        <v>1</v>
      </c>
      <c r="H88" s="389">
        <v>1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22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D88" s="369"/>
      <c r="AE88" s="368" t="s">
        <v>177</v>
      </c>
      <c r="AG88" s="183" t="str">
        <f t="shared" si="2"/>
        <v xml:space="preserve">[1,x,x,1,1,1,0,1,0,1]-&gt;[1,0,1,x,x,1,1,x,x,0];   </v>
      </c>
    </row>
    <row r="89" spans="1:33" x14ac:dyDescent="0.25">
      <c r="A89" s="248"/>
      <c r="B89" s="191"/>
      <c r="C89" s="220" t="s">
        <v>135</v>
      </c>
      <c r="D89" s="283">
        <v>1</v>
      </c>
      <c r="E89" s="233" t="s">
        <v>218</v>
      </c>
      <c r="F89" s="214" t="s">
        <v>218</v>
      </c>
      <c r="G89" s="283">
        <v>1</v>
      </c>
      <c r="H89" s="389">
        <v>1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22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D89" s="369"/>
      <c r="AE89" s="368" t="s">
        <v>176</v>
      </c>
      <c r="AG89" s="183" t="str">
        <f t="shared" si="2"/>
        <v xml:space="preserve">[1,x,x,1,1,1,0,1,1,0]-&gt;[1,1,0,x,x,1,1,x,x,0];   </v>
      </c>
    </row>
    <row r="90" spans="1:33" ht="15.75" thickBot="1" x14ac:dyDescent="0.3">
      <c r="A90" s="248"/>
      <c r="B90" s="191"/>
      <c r="C90" s="220" t="s">
        <v>135</v>
      </c>
      <c r="D90" s="283">
        <v>1</v>
      </c>
      <c r="E90" s="233" t="s">
        <v>218</v>
      </c>
      <c r="F90" s="214" t="s">
        <v>218</v>
      </c>
      <c r="G90" s="284">
        <v>1</v>
      </c>
      <c r="H90" s="390">
        <v>1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22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D90" s="369"/>
      <c r="AE90" s="368" t="s">
        <v>175</v>
      </c>
      <c r="AG90" s="183" t="str">
        <f t="shared" si="2"/>
        <v xml:space="preserve">[1,x,x,1,1,1,0,1,1,1]-&gt;[1,1,1,x,x,1,1,x,x,0];   </v>
      </c>
    </row>
    <row r="91" spans="1:33" x14ac:dyDescent="0.25">
      <c r="A91" s="248"/>
      <c r="B91" s="191"/>
      <c r="C91" s="220" t="s">
        <v>135</v>
      </c>
      <c r="D91" s="283">
        <v>1</v>
      </c>
      <c r="E91" s="391">
        <v>1</v>
      </c>
      <c r="F91" s="214" t="s">
        <v>218</v>
      </c>
      <c r="G91" s="282">
        <v>1</v>
      </c>
      <c r="H91" s="388">
        <v>1</v>
      </c>
      <c r="I91" s="217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235">
        <v>0</v>
      </c>
      <c r="R91" s="226">
        <v>1</v>
      </c>
      <c r="S91" s="236">
        <v>0</v>
      </c>
      <c r="T91" s="235">
        <v>0</v>
      </c>
      <c r="U91" s="236">
        <v>0</v>
      </c>
      <c r="V91" s="303">
        <v>0</v>
      </c>
      <c r="W91" s="191">
        <v>1</v>
      </c>
      <c r="X91" s="235">
        <v>0</v>
      </c>
      <c r="Y91" s="236">
        <v>0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386" t="s">
        <v>339</v>
      </c>
      <c r="AE91" s="368" t="s">
        <v>172</v>
      </c>
      <c r="AG91" s="183" t="str">
        <f t="shared" si="2"/>
        <v xml:space="preserve">[1,1,x,1,1,1,1,0,0,0]-&gt;[0,1,0,0,0,0,1,0,0,0];   "Low-Rom auf ProfDos bei  high = 0  wenn low = 0! </v>
      </c>
    </row>
    <row r="92" spans="1:33" x14ac:dyDescent="0.25">
      <c r="A92" s="248"/>
      <c r="B92" s="191"/>
      <c r="C92" s="220" t="s">
        <v>135</v>
      </c>
      <c r="D92" s="283">
        <v>1</v>
      </c>
      <c r="E92" s="392">
        <v>1</v>
      </c>
      <c r="F92" s="214" t="s">
        <v>218</v>
      </c>
      <c r="G92" s="283">
        <v>1</v>
      </c>
      <c r="H92" s="389">
        <v>1</v>
      </c>
      <c r="I92" s="191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237">
        <v>0</v>
      </c>
      <c r="R92" s="213">
        <v>1</v>
      </c>
      <c r="S92" s="238">
        <v>0</v>
      </c>
      <c r="T92" s="237">
        <v>0</v>
      </c>
      <c r="U92" s="238">
        <v>0</v>
      </c>
      <c r="V92" s="304">
        <v>0</v>
      </c>
      <c r="W92" s="191">
        <v>1</v>
      </c>
      <c r="X92" s="237">
        <v>0</v>
      </c>
      <c r="Y92" s="238">
        <v>0</v>
      </c>
      <c r="Z92" s="191">
        <v>0</v>
      </c>
      <c r="AA92" s="191" t="s">
        <v>134</v>
      </c>
      <c r="AB92" s="221" t="s">
        <v>130</v>
      </c>
      <c r="AD92" s="300"/>
      <c r="AE92" s="368" t="s">
        <v>171</v>
      </c>
      <c r="AG92" s="183" t="str">
        <f t="shared" si="2"/>
        <v xml:space="preserve">[1,1,x,1,1,1,1,0,0,1]-&gt;[0,1,0,0,0,0,1,0,0,0];   </v>
      </c>
    </row>
    <row r="93" spans="1:33" ht="15.75" customHeight="1" x14ac:dyDescent="0.25">
      <c r="A93" s="248"/>
      <c r="B93" s="191"/>
      <c r="C93" s="220" t="s">
        <v>135</v>
      </c>
      <c r="D93" s="283">
        <v>1</v>
      </c>
      <c r="E93" s="392">
        <v>1</v>
      </c>
      <c r="F93" s="214" t="s">
        <v>218</v>
      </c>
      <c r="G93" s="283">
        <v>1</v>
      </c>
      <c r="H93" s="389">
        <v>1</v>
      </c>
      <c r="I93" s="191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237">
        <v>0</v>
      </c>
      <c r="R93" s="213">
        <v>1</v>
      </c>
      <c r="S93" s="238">
        <v>0</v>
      </c>
      <c r="T93" s="237">
        <v>0</v>
      </c>
      <c r="U93" s="238">
        <v>0</v>
      </c>
      <c r="V93" s="304">
        <v>0</v>
      </c>
      <c r="W93" s="191">
        <v>1</v>
      </c>
      <c r="X93" s="237">
        <v>0</v>
      </c>
      <c r="Y93" s="238">
        <v>0</v>
      </c>
      <c r="Z93" s="191">
        <v>0</v>
      </c>
      <c r="AA93" s="191" t="s">
        <v>134</v>
      </c>
      <c r="AB93" s="221" t="s">
        <v>130</v>
      </c>
      <c r="AC93" s="241"/>
      <c r="AD93" s="300"/>
      <c r="AE93" s="368" t="s">
        <v>170</v>
      </c>
      <c r="AG93" s="183" t="str">
        <f t="shared" si="2"/>
        <v xml:space="preserve">[1,1,x,1,1,1,1,0,1,0]-&gt;[0,1,0,0,0,0,1,0,0,0];   </v>
      </c>
    </row>
    <row r="94" spans="1:33" ht="15.75" thickBot="1" x14ac:dyDescent="0.3">
      <c r="A94" s="248"/>
      <c r="B94" s="191"/>
      <c r="C94" s="220" t="s">
        <v>135</v>
      </c>
      <c r="D94" s="283">
        <v>1</v>
      </c>
      <c r="E94" s="393">
        <v>1</v>
      </c>
      <c r="F94" s="214" t="s">
        <v>218</v>
      </c>
      <c r="G94" s="284">
        <v>1</v>
      </c>
      <c r="H94" s="390">
        <v>1</v>
      </c>
      <c r="I94" s="223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239">
        <v>0</v>
      </c>
      <c r="R94" s="227">
        <v>1</v>
      </c>
      <c r="S94" s="240">
        <v>0</v>
      </c>
      <c r="T94" s="239">
        <v>0</v>
      </c>
      <c r="U94" s="240">
        <v>0</v>
      </c>
      <c r="V94" s="305">
        <v>0</v>
      </c>
      <c r="W94" s="191">
        <v>1</v>
      </c>
      <c r="X94" s="239">
        <v>0</v>
      </c>
      <c r="Y94" s="240">
        <v>0</v>
      </c>
      <c r="Z94" s="191">
        <v>0</v>
      </c>
      <c r="AA94" s="191" t="s">
        <v>134</v>
      </c>
      <c r="AB94" s="221" t="s">
        <v>130</v>
      </c>
      <c r="AC94" s="241"/>
      <c r="AD94" s="301"/>
      <c r="AE94" s="368" t="s">
        <v>169</v>
      </c>
      <c r="AG94" s="183" t="str">
        <f t="shared" si="2"/>
        <v xml:space="preserve">[1,1,x,1,1,1,1,0,1,1]-&gt;[0,1,0,0,0,0,1,0,0,0];   </v>
      </c>
    </row>
    <row r="95" spans="1:33" x14ac:dyDescent="0.25">
      <c r="A95" s="248"/>
      <c r="B95" s="191"/>
      <c r="C95" s="220" t="s">
        <v>135</v>
      </c>
      <c r="D95" s="283">
        <v>1</v>
      </c>
      <c r="E95" s="233" t="s">
        <v>218</v>
      </c>
      <c r="F95" s="214" t="s">
        <v>218</v>
      </c>
      <c r="G95" s="282">
        <v>1</v>
      </c>
      <c r="H95" s="388">
        <v>1</v>
      </c>
      <c r="I95" s="217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358" t="s">
        <v>215</v>
      </c>
      <c r="AE95" s="368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248"/>
      <c r="B96" s="191"/>
      <c r="C96" s="220" t="s">
        <v>135</v>
      </c>
      <c r="D96" s="283">
        <v>1</v>
      </c>
      <c r="E96" s="233" t="s">
        <v>218</v>
      </c>
      <c r="F96" s="214" t="s">
        <v>218</v>
      </c>
      <c r="G96" s="283">
        <v>1</v>
      </c>
      <c r="H96" s="389">
        <v>1</v>
      </c>
      <c r="I96" s="191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359"/>
      <c r="AE96" s="368" t="s">
        <v>167</v>
      </c>
      <c r="AG96" s="183" t="str">
        <f t="shared" si="2"/>
        <v xml:space="preserve">[1,x,x,1,1,1,1,1,0,1]-&gt;[1,0,1,x,x,1,1,x,x,0];   </v>
      </c>
    </row>
    <row r="97" spans="1:33" x14ac:dyDescent="0.25">
      <c r="A97" s="248"/>
      <c r="B97" s="191"/>
      <c r="C97" s="220" t="s">
        <v>135</v>
      </c>
      <c r="D97" s="283">
        <v>1</v>
      </c>
      <c r="E97" s="233" t="s">
        <v>218</v>
      </c>
      <c r="F97" s="214" t="s">
        <v>218</v>
      </c>
      <c r="G97" s="283">
        <v>1</v>
      </c>
      <c r="H97" s="389">
        <v>1</v>
      </c>
      <c r="I97" s="191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359"/>
      <c r="AE97" s="368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248"/>
      <c r="B98" s="191"/>
      <c r="C98" s="220" t="s">
        <v>135</v>
      </c>
      <c r="D98" s="284">
        <v>1</v>
      </c>
      <c r="E98" s="234" t="s">
        <v>218</v>
      </c>
      <c r="F98" s="229" t="s">
        <v>218</v>
      </c>
      <c r="G98" s="284">
        <v>1</v>
      </c>
      <c r="H98" s="390">
        <v>1</v>
      </c>
      <c r="I98" s="223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383"/>
      <c r="AD98" s="360"/>
      <c r="AE98" s="372" t="s">
        <v>165</v>
      </c>
      <c r="AG98" s="183" t="str">
        <f t="shared" si="2"/>
        <v xml:space="preserve">[1,x,x,1,1,1,1,1,1,1]-&gt;[1,1,1,x,x,1,1,x,x,0];   </v>
      </c>
    </row>
    <row r="99" spans="1:33" ht="15.75" thickBot="1" x14ac:dyDescent="0.3">
      <c r="A99" s="248"/>
      <c r="B99" s="191"/>
      <c r="C99" s="216" t="s">
        <v>135</v>
      </c>
      <c r="D99" s="273">
        <v>1</v>
      </c>
      <c r="E99" s="228" t="s">
        <v>218</v>
      </c>
      <c r="F99" s="306">
        <v>0</v>
      </c>
      <c r="G99" s="228" t="s">
        <v>218</v>
      </c>
      <c r="H99" s="267" t="s">
        <v>218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3" t="s">
        <v>218</v>
      </c>
      <c r="U99" s="230" t="s">
        <v>218</v>
      </c>
      <c r="V99" s="191">
        <v>1</v>
      </c>
      <c r="W99" s="191">
        <v>1</v>
      </c>
      <c r="X99" s="233" t="s">
        <v>218</v>
      </c>
      <c r="Y99" s="230" t="s">
        <v>218</v>
      </c>
      <c r="Z99" s="225">
        <v>0</v>
      </c>
      <c r="AA99" s="217" t="s">
        <v>134</v>
      </c>
      <c r="AB99" s="219" t="s">
        <v>130</v>
      </c>
      <c r="AC99" s="242" t="s">
        <v>216</v>
      </c>
      <c r="AD99" s="385" t="s">
        <v>335</v>
      </c>
      <c r="AE99" s="367" t="s">
        <v>208</v>
      </c>
      <c r="AG99" s="183" t="str">
        <f t="shared" si="1"/>
        <v>[1,x,0,x,x,0,0,0,0,0]-&gt;[0,0,0,x,x,1,1,x,x,0];   "Ram OnBoard</v>
      </c>
    </row>
    <row r="100" spans="1:33" x14ac:dyDescent="0.25">
      <c r="A100" s="248"/>
      <c r="B100" s="191"/>
      <c r="C100" s="220" t="s">
        <v>135</v>
      </c>
      <c r="D100" s="233" t="s">
        <v>218</v>
      </c>
      <c r="E100" s="214" t="s">
        <v>218</v>
      </c>
      <c r="F100" s="214" t="s">
        <v>218</v>
      </c>
      <c r="G100" s="214" t="s">
        <v>218</v>
      </c>
      <c r="H100" s="230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22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358" t="s">
        <v>331</v>
      </c>
      <c r="AE100" s="368" t="s">
        <v>207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"Original 1:1</v>
      </c>
    </row>
    <row r="101" spans="1:33" x14ac:dyDescent="0.25">
      <c r="A101" s="248"/>
      <c r="B101" s="191"/>
      <c r="C101" s="220" t="s">
        <v>135</v>
      </c>
      <c r="D101" s="233" t="s">
        <v>218</v>
      </c>
      <c r="E101" s="214" t="s">
        <v>218</v>
      </c>
      <c r="F101" s="214" t="s">
        <v>218</v>
      </c>
      <c r="G101" s="214" t="s">
        <v>218</v>
      </c>
      <c r="H101" s="230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22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1"/>
      <c r="AD101" s="359"/>
      <c r="AE101" s="368" t="s">
        <v>206</v>
      </c>
      <c r="AG101" s="183" t="str">
        <f t="shared" si="3"/>
        <v xml:space="preserve">[x,x,x,x,x,0,0,0,1,0]-&gt;[0,1,0,x,x,1,1,x,x,0];   </v>
      </c>
    </row>
    <row r="102" spans="1:33" x14ac:dyDescent="0.25">
      <c r="A102" s="248"/>
      <c r="B102" s="191"/>
      <c r="C102" s="220" t="s">
        <v>135</v>
      </c>
      <c r="D102" s="233" t="s">
        <v>218</v>
      </c>
      <c r="E102" s="214" t="s">
        <v>218</v>
      </c>
      <c r="F102" s="214" t="s">
        <v>218</v>
      </c>
      <c r="G102" s="214" t="s">
        <v>218</v>
      </c>
      <c r="H102" s="230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22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D102" s="359"/>
      <c r="AE102" s="368" t="s">
        <v>205</v>
      </c>
      <c r="AG102" s="183" t="str">
        <f t="shared" si="3"/>
        <v xml:space="preserve">[x,x,x,x,x,0,0,0,1,1]-&gt;[0,1,1,x,x,1,1,x,x,0];   </v>
      </c>
    </row>
    <row r="103" spans="1:33" x14ac:dyDescent="0.25">
      <c r="A103" s="248"/>
      <c r="B103" s="191"/>
      <c r="C103" s="220" t="s">
        <v>135</v>
      </c>
      <c r="D103" s="233" t="s">
        <v>218</v>
      </c>
      <c r="E103" s="214" t="s">
        <v>218</v>
      </c>
      <c r="F103" s="214" t="s">
        <v>218</v>
      </c>
      <c r="G103" s="214" t="s">
        <v>218</v>
      </c>
      <c r="H103" s="230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22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D103" s="359"/>
      <c r="AE103" s="368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8"/>
      <c r="B104" s="191"/>
      <c r="C104" s="220" t="s">
        <v>135</v>
      </c>
      <c r="D104" s="233" t="s">
        <v>218</v>
      </c>
      <c r="E104" s="214" t="s">
        <v>218</v>
      </c>
      <c r="F104" s="214" t="s">
        <v>218</v>
      </c>
      <c r="G104" s="214" t="s">
        <v>218</v>
      </c>
      <c r="H104" s="230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22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D104" s="359"/>
      <c r="AE104" s="368" t="s">
        <v>200</v>
      </c>
      <c r="AG104" s="183" t="str">
        <f t="shared" si="3"/>
        <v xml:space="preserve">[x,x,x,x,x,0,0,1,0,1]-&gt;[0,0,1,x,x,1,1,x,x,0];   </v>
      </c>
    </row>
    <row r="105" spans="1:33" x14ac:dyDescent="0.25">
      <c r="A105" s="248"/>
      <c r="B105" s="191"/>
      <c r="C105" s="220" t="s">
        <v>135</v>
      </c>
      <c r="D105" s="233" t="s">
        <v>218</v>
      </c>
      <c r="E105" s="214" t="s">
        <v>218</v>
      </c>
      <c r="F105" s="214" t="s">
        <v>218</v>
      </c>
      <c r="G105" s="214" t="s">
        <v>218</v>
      </c>
      <c r="H105" s="230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22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D105" s="359"/>
      <c r="AE105" s="368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8"/>
      <c r="B106" s="191"/>
      <c r="C106" s="220" t="s">
        <v>135</v>
      </c>
      <c r="D106" s="233" t="s">
        <v>218</v>
      </c>
      <c r="E106" s="214" t="s">
        <v>218</v>
      </c>
      <c r="F106" s="214" t="s">
        <v>218</v>
      </c>
      <c r="G106" s="214" t="s">
        <v>218</v>
      </c>
      <c r="H106" s="230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22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D106" s="360"/>
      <c r="AE106" s="368" t="s">
        <v>198</v>
      </c>
      <c r="AG106" s="183" t="str">
        <f t="shared" si="3"/>
        <v xml:space="preserve">[x,x,x,x,x,0,0,1,1,1]-&gt;[0,1,1,x,x,1,1,x,x,0];   </v>
      </c>
    </row>
    <row r="107" spans="1:33" x14ac:dyDescent="0.25">
      <c r="A107" s="248"/>
      <c r="B107" s="191"/>
      <c r="C107" s="220" t="s">
        <v>135</v>
      </c>
      <c r="D107" s="282">
        <v>1</v>
      </c>
      <c r="E107" s="233" t="s">
        <v>218</v>
      </c>
      <c r="F107" s="214" t="s">
        <v>218</v>
      </c>
      <c r="G107" s="282">
        <v>1</v>
      </c>
      <c r="H107" s="230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22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D107" s="369"/>
      <c r="AE107" s="368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248"/>
      <c r="B108" s="191"/>
      <c r="C108" s="220" t="s">
        <v>135</v>
      </c>
      <c r="D108" s="283">
        <v>1</v>
      </c>
      <c r="E108" s="233" t="s">
        <v>218</v>
      </c>
      <c r="F108" s="214" t="s">
        <v>218</v>
      </c>
      <c r="G108" s="283">
        <v>1</v>
      </c>
      <c r="H108" s="230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22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D108" s="369"/>
      <c r="AE108" s="368" t="s">
        <v>195</v>
      </c>
      <c r="AG108" s="183" t="str">
        <f t="shared" si="3"/>
        <v xml:space="preserve">[1,x,x,1,x,0,1,0,0,1]-&gt;[0,0,1,x,x,1,1,x,x,0];   </v>
      </c>
    </row>
    <row r="109" spans="1:33" x14ac:dyDescent="0.25">
      <c r="A109" s="248"/>
      <c r="B109" s="191"/>
      <c r="C109" s="220" t="s">
        <v>135</v>
      </c>
      <c r="D109" s="283">
        <v>1</v>
      </c>
      <c r="E109" s="233" t="s">
        <v>218</v>
      </c>
      <c r="F109" s="214" t="s">
        <v>218</v>
      </c>
      <c r="G109" s="283">
        <v>1</v>
      </c>
      <c r="H109" s="230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22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D109" s="369"/>
      <c r="AE109" s="368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248"/>
      <c r="B110" s="191"/>
      <c r="C110" s="220" t="s">
        <v>135</v>
      </c>
      <c r="D110" s="283">
        <v>1</v>
      </c>
      <c r="E110" s="233" t="s">
        <v>218</v>
      </c>
      <c r="F110" s="214" t="s">
        <v>218</v>
      </c>
      <c r="G110" s="283">
        <v>1</v>
      </c>
      <c r="H110" s="230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22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D110" s="369"/>
      <c r="AE110" s="368" t="s">
        <v>193</v>
      </c>
      <c r="AG110" s="183" t="str">
        <f t="shared" si="3"/>
        <v xml:space="preserve">[1,x,x,1,x,0,1,0,1,1]-&gt;[0,1,1,x,x,1,1,x,x,0];   </v>
      </c>
    </row>
    <row r="111" spans="1:33" x14ac:dyDescent="0.25">
      <c r="A111" s="248"/>
      <c r="B111" s="191"/>
      <c r="C111" s="220" t="s">
        <v>135</v>
      </c>
      <c r="D111" s="283">
        <v>1</v>
      </c>
      <c r="E111" s="233" t="s">
        <v>218</v>
      </c>
      <c r="F111" s="214" t="s">
        <v>218</v>
      </c>
      <c r="G111" s="283">
        <v>1</v>
      </c>
      <c r="H111" s="230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22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D111" s="369"/>
      <c r="AE111" s="368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248"/>
      <c r="B112" s="191"/>
      <c r="C112" s="220" t="s">
        <v>135</v>
      </c>
      <c r="D112" s="283">
        <v>1</v>
      </c>
      <c r="E112" s="233" t="s">
        <v>218</v>
      </c>
      <c r="F112" s="214" t="s">
        <v>218</v>
      </c>
      <c r="G112" s="283">
        <v>1</v>
      </c>
      <c r="H112" s="230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22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D112" s="369"/>
      <c r="AE112" s="368" t="s">
        <v>190</v>
      </c>
      <c r="AG112" s="183" t="str">
        <f t="shared" si="3"/>
        <v xml:space="preserve">[1,x,x,1,x,0,1,1,0,1]-&gt;[0,0,1,x,x,1,1,x,x,0];   </v>
      </c>
    </row>
    <row r="113" spans="1:33" x14ac:dyDescent="0.25">
      <c r="A113" s="248"/>
      <c r="B113" s="191"/>
      <c r="C113" s="220" t="s">
        <v>135</v>
      </c>
      <c r="D113" s="283">
        <v>1</v>
      </c>
      <c r="E113" s="233" t="s">
        <v>218</v>
      </c>
      <c r="F113" s="214" t="s">
        <v>218</v>
      </c>
      <c r="G113" s="283">
        <v>1</v>
      </c>
      <c r="H113" s="230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22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D113" s="369"/>
      <c r="AE113" s="368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248"/>
      <c r="B114" s="191"/>
      <c r="C114" s="220" t="s">
        <v>135</v>
      </c>
      <c r="D114" s="283">
        <v>1</v>
      </c>
      <c r="E114" s="233" t="s">
        <v>218</v>
      </c>
      <c r="F114" s="214" t="s">
        <v>218</v>
      </c>
      <c r="G114" s="284">
        <v>1</v>
      </c>
      <c r="H114" s="230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22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D114" s="369"/>
      <c r="AE114" s="368" t="s">
        <v>186</v>
      </c>
      <c r="AG114" s="183" t="str">
        <f t="shared" si="3"/>
        <v xml:space="preserve">[1,x,x,1,x,0,1,1,1,1]-&gt;[0,1,1,x,x,1,1,x,x,0];   </v>
      </c>
    </row>
    <row r="115" spans="1:33" x14ac:dyDescent="0.25">
      <c r="A115" s="248"/>
      <c r="B115" s="191"/>
      <c r="C115" s="220" t="s">
        <v>135</v>
      </c>
      <c r="D115" s="283">
        <v>1</v>
      </c>
      <c r="E115" s="233" t="s">
        <v>218</v>
      </c>
      <c r="F115" s="214" t="s">
        <v>218</v>
      </c>
      <c r="G115" s="282">
        <v>1</v>
      </c>
      <c r="H115" s="388">
        <v>1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22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1"/>
      <c r="AD115" s="370"/>
      <c r="AE115" s="368" t="s">
        <v>183</v>
      </c>
      <c r="AG115" s="183" t="str">
        <f t="shared" si="3"/>
        <v xml:space="preserve">[1,x,x,1,1,1,0,0,0,0]-&gt;[1,0,0,x,x,1,1,x,x,0];   </v>
      </c>
    </row>
    <row r="116" spans="1:33" x14ac:dyDescent="0.25">
      <c r="A116" s="248"/>
      <c r="B116" s="191"/>
      <c r="C116" s="220" t="s">
        <v>135</v>
      </c>
      <c r="D116" s="283">
        <v>1</v>
      </c>
      <c r="E116" s="233" t="s">
        <v>218</v>
      </c>
      <c r="F116" s="214" t="s">
        <v>218</v>
      </c>
      <c r="G116" s="283">
        <v>1</v>
      </c>
      <c r="H116" s="389">
        <v>1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221">
        <v>1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D116" s="369"/>
      <c r="AE116" s="368" t="s">
        <v>182</v>
      </c>
      <c r="AG116" s="183" t="str">
        <f t="shared" si="3"/>
        <v xml:space="preserve">[1,x,x,1,1,1,0,0,0,1]-&gt;[1,0,1,x,x,1,1,x,x,0];   </v>
      </c>
    </row>
    <row r="117" spans="1:33" x14ac:dyDescent="0.25">
      <c r="A117" s="248"/>
      <c r="B117" s="191"/>
      <c r="C117" s="220" t="s">
        <v>135</v>
      </c>
      <c r="D117" s="283">
        <v>1</v>
      </c>
      <c r="E117" s="233" t="s">
        <v>218</v>
      </c>
      <c r="F117" s="214" t="s">
        <v>218</v>
      </c>
      <c r="G117" s="283">
        <v>1</v>
      </c>
      <c r="H117" s="389">
        <v>1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22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D117" s="369"/>
      <c r="AE117" s="368" t="s">
        <v>181</v>
      </c>
      <c r="AG117" s="183" t="str">
        <f t="shared" si="3"/>
        <v xml:space="preserve">[1,x,x,1,1,1,0,0,1,0]-&gt;[1,1,0,x,x,1,1,x,x,0];   </v>
      </c>
    </row>
    <row r="118" spans="1:33" x14ac:dyDescent="0.25">
      <c r="A118" s="248"/>
      <c r="B118" s="191"/>
      <c r="C118" s="220" t="s">
        <v>135</v>
      </c>
      <c r="D118" s="283">
        <v>1</v>
      </c>
      <c r="E118" s="233" t="s">
        <v>218</v>
      </c>
      <c r="F118" s="214" t="s">
        <v>218</v>
      </c>
      <c r="G118" s="283">
        <v>1</v>
      </c>
      <c r="H118" s="389">
        <v>1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221">
        <v>1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D118" s="371"/>
      <c r="AE118" s="368" t="s">
        <v>180</v>
      </c>
      <c r="AG118" s="183" t="str">
        <f t="shared" si="3"/>
        <v xml:space="preserve">[1,x,x,1,1,1,0,0,1,1]-&gt;[1,1,1,x,x,1,1,x,x,0];   </v>
      </c>
    </row>
    <row r="119" spans="1:33" x14ac:dyDescent="0.25">
      <c r="A119" s="248"/>
      <c r="B119" s="191"/>
      <c r="C119" s="220" t="s">
        <v>135</v>
      </c>
      <c r="D119" s="283">
        <v>1</v>
      </c>
      <c r="E119" s="233" t="s">
        <v>218</v>
      </c>
      <c r="F119" s="214" t="s">
        <v>218</v>
      </c>
      <c r="G119" s="283">
        <v>1</v>
      </c>
      <c r="H119" s="389">
        <v>1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1</v>
      </c>
      <c r="R119" s="191">
        <v>0</v>
      </c>
      <c r="S119" s="22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D119" s="369"/>
      <c r="AE119" s="368" t="s">
        <v>178</v>
      </c>
      <c r="AG119" s="183" t="str">
        <f t="shared" si="3"/>
        <v xml:space="preserve">[1,x,x,1,1,1,0,1,0,0]-&gt;[1,0,0,x,x,1,1,x,x,0];   </v>
      </c>
    </row>
    <row r="120" spans="1:33" x14ac:dyDescent="0.25">
      <c r="A120" s="248"/>
      <c r="B120" s="191"/>
      <c r="C120" s="220" t="s">
        <v>135</v>
      </c>
      <c r="D120" s="283">
        <v>1</v>
      </c>
      <c r="E120" s="233" t="s">
        <v>218</v>
      </c>
      <c r="F120" s="214" t="s">
        <v>218</v>
      </c>
      <c r="G120" s="283">
        <v>1</v>
      </c>
      <c r="H120" s="389">
        <v>1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1</v>
      </c>
      <c r="R120" s="191">
        <v>0</v>
      </c>
      <c r="S120" s="221">
        <v>1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D120" s="369"/>
      <c r="AE120" s="368" t="s">
        <v>177</v>
      </c>
      <c r="AG120" s="183" t="str">
        <f t="shared" si="3"/>
        <v xml:space="preserve">[1,x,x,1,1,1,0,1,0,1]-&gt;[1,0,1,x,x,1,1,x,x,0];   </v>
      </c>
    </row>
    <row r="121" spans="1:33" x14ac:dyDescent="0.25">
      <c r="A121" s="248"/>
      <c r="B121" s="191"/>
      <c r="C121" s="220" t="s">
        <v>135</v>
      </c>
      <c r="D121" s="283">
        <v>1</v>
      </c>
      <c r="E121" s="233" t="s">
        <v>218</v>
      </c>
      <c r="F121" s="214" t="s">
        <v>218</v>
      </c>
      <c r="G121" s="283">
        <v>1</v>
      </c>
      <c r="H121" s="389">
        <v>1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1</v>
      </c>
      <c r="R121" s="191">
        <v>1</v>
      </c>
      <c r="S121" s="22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D121" s="369"/>
      <c r="AE121" s="368" t="s">
        <v>176</v>
      </c>
      <c r="AG121" s="183" t="str">
        <f t="shared" si="3"/>
        <v xml:space="preserve">[1,x,x,1,1,1,0,1,1,0]-&gt;[1,1,0,x,x,1,1,x,x,0];   </v>
      </c>
    </row>
    <row r="122" spans="1:33" ht="15.75" thickBot="1" x14ac:dyDescent="0.3">
      <c r="A122" s="248"/>
      <c r="B122" s="191"/>
      <c r="C122" s="220" t="s">
        <v>135</v>
      </c>
      <c r="D122" s="283">
        <v>1</v>
      </c>
      <c r="E122" s="233" t="s">
        <v>218</v>
      </c>
      <c r="F122" s="214" t="s">
        <v>218</v>
      </c>
      <c r="G122" s="284">
        <v>1</v>
      </c>
      <c r="H122" s="390">
        <v>1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1</v>
      </c>
      <c r="R122" s="191">
        <v>1</v>
      </c>
      <c r="S122" s="221">
        <v>1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D122" s="369"/>
      <c r="AE122" s="368" t="s">
        <v>175</v>
      </c>
      <c r="AG122" s="183" t="str">
        <f t="shared" si="3"/>
        <v xml:space="preserve">[1,x,x,1,1,1,0,1,1,1]-&gt;[1,1,1,x,x,1,1,x,x,0];   </v>
      </c>
    </row>
    <row r="123" spans="1:33" x14ac:dyDescent="0.25">
      <c r="A123" s="248"/>
      <c r="B123" s="191"/>
      <c r="C123" s="220" t="s">
        <v>135</v>
      </c>
      <c r="D123" s="283">
        <v>1</v>
      </c>
      <c r="E123" s="391">
        <v>0</v>
      </c>
      <c r="F123" s="214" t="s">
        <v>218</v>
      </c>
      <c r="G123" s="282">
        <v>1</v>
      </c>
      <c r="H123" s="388">
        <v>1</v>
      </c>
      <c r="I123" s="217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22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386" t="s">
        <v>338</v>
      </c>
      <c r="AE123" s="368" t="s">
        <v>172</v>
      </c>
      <c r="AG123" s="183" t="str">
        <f t="shared" si="3"/>
        <v>[1,0,x,1,1,1,1,0,0,0]-&gt;[1,0,0,x,x,1,1,x,x,0];   "Low-Rom auf dem Board bei high = 0 wenn low = 1!</v>
      </c>
    </row>
    <row r="124" spans="1:33" x14ac:dyDescent="0.25">
      <c r="A124" s="248"/>
      <c r="B124" s="191"/>
      <c r="C124" s="220" t="s">
        <v>135</v>
      </c>
      <c r="D124" s="283">
        <v>1</v>
      </c>
      <c r="E124" s="392">
        <v>0</v>
      </c>
      <c r="F124" s="214" t="s">
        <v>218</v>
      </c>
      <c r="G124" s="283">
        <v>1</v>
      </c>
      <c r="H124" s="389">
        <v>1</v>
      </c>
      <c r="I124" s="191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22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359"/>
      <c r="AE124" s="368" t="s">
        <v>171</v>
      </c>
      <c r="AG124" s="183" t="str">
        <f t="shared" si="3"/>
        <v xml:space="preserve">[1,0,x,1,1,1,1,0,0,1]-&gt;[1,0,1,x,x,1,1,x,x,0];   </v>
      </c>
    </row>
    <row r="125" spans="1:33" ht="15.75" customHeight="1" x14ac:dyDescent="0.25">
      <c r="A125" s="248"/>
      <c r="B125" s="191"/>
      <c r="C125" s="220" t="s">
        <v>135</v>
      </c>
      <c r="D125" s="283">
        <v>1</v>
      </c>
      <c r="E125" s="392">
        <v>0</v>
      </c>
      <c r="F125" s="214" t="s">
        <v>218</v>
      </c>
      <c r="G125" s="283">
        <v>1</v>
      </c>
      <c r="H125" s="389">
        <v>1</v>
      </c>
      <c r="I125" s="191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22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359"/>
      <c r="AE125" s="368" t="s">
        <v>170</v>
      </c>
      <c r="AG125" s="183" t="str">
        <f t="shared" si="3"/>
        <v xml:space="preserve">[1,0,x,1,1,1,1,0,1,0]-&gt;[1,1,0,x,x,1,1,x,x,0];   </v>
      </c>
    </row>
    <row r="126" spans="1:33" ht="15.75" thickBot="1" x14ac:dyDescent="0.3">
      <c r="A126" s="248"/>
      <c r="B126" s="191"/>
      <c r="C126" s="220" t="s">
        <v>135</v>
      </c>
      <c r="D126" s="283">
        <v>1</v>
      </c>
      <c r="E126" s="393">
        <v>0</v>
      </c>
      <c r="F126" s="214" t="s">
        <v>218</v>
      </c>
      <c r="G126" s="284">
        <v>1</v>
      </c>
      <c r="H126" s="390">
        <v>1</v>
      </c>
      <c r="I126" s="223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22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360"/>
      <c r="AE126" s="368" t="s">
        <v>169</v>
      </c>
      <c r="AG126" s="183" t="str">
        <f t="shared" si="3"/>
        <v xml:space="preserve">[1,0,x,1,1,1,1,0,1,1]-&gt;[1,1,1,x,x,1,1,x,x,0];   </v>
      </c>
    </row>
    <row r="127" spans="1:33" x14ac:dyDescent="0.25">
      <c r="A127" s="248"/>
      <c r="B127" s="191"/>
      <c r="C127" s="220" t="s">
        <v>135</v>
      </c>
      <c r="D127" s="283">
        <v>1</v>
      </c>
      <c r="E127" s="233" t="s">
        <v>218</v>
      </c>
      <c r="F127" s="214" t="s">
        <v>218</v>
      </c>
      <c r="G127" s="282">
        <v>1</v>
      </c>
      <c r="H127" s="388">
        <v>1</v>
      </c>
      <c r="I127" s="217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191">
        <v>1</v>
      </c>
      <c r="R127" s="191">
        <v>0</v>
      </c>
      <c r="S127" s="221">
        <v>0</v>
      </c>
      <c r="T127" s="233" t="s">
        <v>218</v>
      </c>
      <c r="U127" s="230" t="s">
        <v>218</v>
      </c>
      <c r="V127" s="191">
        <v>1</v>
      </c>
      <c r="W127" s="191">
        <v>1</v>
      </c>
      <c r="X127" s="233" t="s">
        <v>218</v>
      </c>
      <c r="Y127" s="230" t="s">
        <v>218</v>
      </c>
      <c r="Z127" s="191">
        <v>0</v>
      </c>
      <c r="AA127" s="191" t="s">
        <v>134</v>
      </c>
      <c r="AB127" s="221" t="s">
        <v>130</v>
      </c>
      <c r="AC127" s="241" t="s">
        <v>216</v>
      </c>
      <c r="AD127" s="358" t="s">
        <v>215</v>
      </c>
      <c r="AE127" s="368" t="s">
        <v>168</v>
      </c>
      <c r="AG127" s="183" t="str">
        <f t="shared" si="3"/>
        <v>[1,x,x,1,1,1,1,1,0,0]-&gt;[1,0,0,x,x,1,1,x,x,0];   "High-Rom auf dem Board</v>
      </c>
    </row>
    <row r="128" spans="1:33" x14ac:dyDescent="0.25">
      <c r="A128" s="248"/>
      <c r="B128" s="191"/>
      <c r="C128" s="220" t="s">
        <v>135</v>
      </c>
      <c r="D128" s="283">
        <v>1</v>
      </c>
      <c r="E128" s="233" t="s">
        <v>218</v>
      </c>
      <c r="F128" s="214" t="s">
        <v>218</v>
      </c>
      <c r="G128" s="283">
        <v>1</v>
      </c>
      <c r="H128" s="389">
        <v>1</v>
      </c>
      <c r="I128" s="191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191">
        <v>1</v>
      </c>
      <c r="R128" s="191">
        <v>0</v>
      </c>
      <c r="S128" s="221">
        <v>1</v>
      </c>
      <c r="T128" s="233" t="s">
        <v>218</v>
      </c>
      <c r="U128" s="230" t="s">
        <v>218</v>
      </c>
      <c r="V128" s="191">
        <v>1</v>
      </c>
      <c r="W128" s="191">
        <v>1</v>
      </c>
      <c r="X128" s="233" t="s">
        <v>218</v>
      </c>
      <c r="Y128" s="230" t="s">
        <v>218</v>
      </c>
      <c r="Z128" s="191">
        <v>0</v>
      </c>
      <c r="AA128" s="191" t="s">
        <v>134</v>
      </c>
      <c r="AB128" s="221" t="s">
        <v>130</v>
      </c>
      <c r="AD128" s="359"/>
      <c r="AE128" s="368" t="s">
        <v>167</v>
      </c>
      <c r="AG128" s="183" t="str">
        <f t="shared" si="3"/>
        <v xml:space="preserve">[1,x,x,1,1,1,1,1,0,1]-&gt;[1,0,1,x,x,1,1,x,x,0];   </v>
      </c>
    </row>
    <row r="129" spans="1:33" x14ac:dyDescent="0.25">
      <c r="A129" s="248"/>
      <c r="B129" s="191"/>
      <c r="C129" s="220" t="s">
        <v>135</v>
      </c>
      <c r="D129" s="283">
        <v>1</v>
      </c>
      <c r="E129" s="233" t="s">
        <v>218</v>
      </c>
      <c r="F129" s="214" t="s">
        <v>218</v>
      </c>
      <c r="G129" s="283">
        <v>1</v>
      </c>
      <c r="H129" s="389">
        <v>1</v>
      </c>
      <c r="I129" s="191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191">
        <v>1</v>
      </c>
      <c r="R129" s="191">
        <v>1</v>
      </c>
      <c r="S129" s="221">
        <v>0</v>
      </c>
      <c r="T129" s="233" t="s">
        <v>218</v>
      </c>
      <c r="U129" s="230" t="s">
        <v>218</v>
      </c>
      <c r="V129" s="191">
        <v>1</v>
      </c>
      <c r="W129" s="191">
        <v>1</v>
      </c>
      <c r="X129" s="233" t="s">
        <v>218</v>
      </c>
      <c r="Y129" s="230" t="s">
        <v>218</v>
      </c>
      <c r="Z129" s="191">
        <v>0</v>
      </c>
      <c r="AA129" s="191" t="s">
        <v>134</v>
      </c>
      <c r="AB129" s="221" t="s">
        <v>130</v>
      </c>
      <c r="AC129" s="241"/>
      <c r="AD129" s="359"/>
      <c r="AE129" s="368" t="s">
        <v>166</v>
      </c>
      <c r="AG129" s="183" t="str">
        <f t="shared" si="3"/>
        <v xml:space="preserve">[1,x,x,1,1,1,1,1,1,0]-&gt;[1,1,0,x,x,1,1,x,x,0];   </v>
      </c>
    </row>
    <row r="130" spans="1:33" ht="15.75" thickBot="1" x14ac:dyDescent="0.3">
      <c r="A130" s="248"/>
      <c r="B130" s="191"/>
      <c r="C130" s="220" t="s">
        <v>135</v>
      </c>
      <c r="D130" s="284">
        <v>1</v>
      </c>
      <c r="E130" s="234" t="s">
        <v>218</v>
      </c>
      <c r="F130" s="229" t="s">
        <v>218</v>
      </c>
      <c r="G130" s="284">
        <v>1</v>
      </c>
      <c r="H130" s="390">
        <v>1</v>
      </c>
      <c r="I130" s="223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23">
        <v>1</v>
      </c>
      <c r="R130" s="223">
        <v>1</v>
      </c>
      <c r="S130" s="225">
        <v>1</v>
      </c>
      <c r="T130" s="234" t="s">
        <v>218</v>
      </c>
      <c r="U130" s="231" t="s">
        <v>218</v>
      </c>
      <c r="V130" s="223">
        <v>1</v>
      </c>
      <c r="W130" s="223">
        <v>1</v>
      </c>
      <c r="X130" s="234" t="s">
        <v>218</v>
      </c>
      <c r="Y130" s="231" t="s">
        <v>218</v>
      </c>
      <c r="Z130" s="223">
        <v>0</v>
      </c>
      <c r="AA130" s="223" t="s">
        <v>134</v>
      </c>
      <c r="AB130" s="225" t="s">
        <v>130</v>
      </c>
      <c r="AC130" s="383"/>
      <c r="AD130" s="360"/>
      <c r="AE130" s="372" t="s">
        <v>165</v>
      </c>
      <c r="AG130" s="183" t="str">
        <f t="shared" si="3"/>
        <v xml:space="preserve">[1,x,x,1,1,1,1,1,1,1]-&gt;[1,1,1,x,x,1,1,x,x,0];   </v>
      </c>
    </row>
    <row r="131" spans="1:33" ht="15.75" thickBot="1" x14ac:dyDescent="0.3">
      <c r="A131" s="248"/>
      <c r="B131" s="191"/>
      <c r="C131" s="216" t="s">
        <v>135</v>
      </c>
      <c r="D131" s="273">
        <v>1</v>
      </c>
      <c r="E131" s="228" t="s">
        <v>218</v>
      </c>
      <c r="F131" s="306">
        <v>1</v>
      </c>
      <c r="G131" s="228" t="s">
        <v>218</v>
      </c>
      <c r="H131" s="267" t="s">
        <v>218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212</v>
      </c>
      <c r="P131" s="191" t="s">
        <v>135</v>
      </c>
      <c r="Q131" s="191">
        <v>0</v>
      </c>
      <c r="R131" s="191">
        <v>1</v>
      </c>
      <c r="S131" s="191">
        <v>0</v>
      </c>
      <c r="T131" s="233" t="s">
        <v>218</v>
      </c>
      <c r="U131" s="230" t="s">
        <v>218</v>
      </c>
      <c r="V131" s="222">
        <v>1</v>
      </c>
      <c r="W131" s="379">
        <v>0</v>
      </c>
      <c r="X131" s="266">
        <v>0</v>
      </c>
      <c r="Y131" s="292">
        <v>0</v>
      </c>
      <c r="Z131" s="225">
        <v>0</v>
      </c>
      <c r="AA131" s="191" t="s">
        <v>134</v>
      </c>
      <c r="AB131" s="221" t="s">
        <v>130</v>
      </c>
      <c r="AC131" s="242" t="s">
        <v>216</v>
      </c>
      <c r="AD131" s="380" t="s">
        <v>334</v>
      </c>
      <c r="AE131" s="381" t="s">
        <v>208</v>
      </c>
      <c r="AG131" s="183" t="str">
        <f t="shared" si="3"/>
        <v>[1,x,1,x,x,0,0,0,0,0]-&gt;[0,1,0,x,x,1,0,0,0,0];   "RAM ProfDos</v>
      </c>
    </row>
    <row r="132" spans="1:33" x14ac:dyDescent="0.25">
      <c r="A132" s="248"/>
      <c r="B132" s="191"/>
      <c r="C132" s="220" t="s">
        <v>135</v>
      </c>
      <c r="D132" s="233" t="s">
        <v>218</v>
      </c>
      <c r="E132" s="214" t="s">
        <v>218</v>
      </c>
      <c r="F132" s="214" t="s">
        <v>218</v>
      </c>
      <c r="G132" s="214" t="s">
        <v>218</v>
      </c>
      <c r="H132" s="230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358" t="s">
        <v>271</v>
      </c>
      <c r="AE132" s="377" t="s">
        <v>207</v>
      </c>
      <c r="AG132" s="183" t="str">
        <f t="shared" ref="AG132:AG163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/>
      <c r="B133" s="191"/>
      <c r="C133" s="220" t="s">
        <v>135</v>
      </c>
      <c r="D133" s="233" t="s">
        <v>218</v>
      </c>
      <c r="E133" s="214" t="s">
        <v>218</v>
      </c>
      <c r="F133" s="214" t="s">
        <v>218</v>
      </c>
      <c r="G133" s="214" t="s">
        <v>218</v>
      </c>
      <c r="H133" s="230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3" t="s">
        <v>216</v>
      </c>
      <c r="AD133" s="359" t="s">
        <v>332</v>
      </c>
      <c r="AE133" s="377" t="s">
        <v>206</v>
      </c>
      <c r="AG133" s="183" t="str">
        <f t="shared" si="4"/>
        <v>[x,x,x,x,x,0,0,0,1,0]-&gt;[0,1,0,x,x,1,1,x,x,0];   "Codierung 1:1</v>
      </c>
    </row>
    <row r="134" spans="1:33" x14ac:dyDescent="0.25">
      <c r="A134" s="248"/>
      <c r="B134" s="191"/>
      <c r="C134" s="220" t="s">
        <v>135</v>
      </c>
      <c r="D134" s="233" t="s">
        <v>218</v>
      </c>
      <c r="E134" s="214" t="s">
        <v>218</v>
      </c>
      <c r="F134" s="214" t="s">
        <v>218</v>
      </c>
      <c r="G134" s="214" t="s">
        <v>218</v>
      </c>
      <c r="H134" s="230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D134" s="359"/>
      <c r="AE134" s="377" t="s">
        <v>205</v>
      </c>
      <c r="AG134" s="183" t="str">
        <f t="shared" si="4"/>
        <v xml:space="preserve">[x,x,x,x,x,0,0,0,1,1]-&gt;[0,1,1,x,x,1,1,x,x,0];   </v>
      </c>
    </row>
    <row r="135" spans="1:33" x14ac:dyDescent="0.25">
      <c r="A135" s="248"/>
      <c r="B135" s="191"/>
      <c r="C135" s="220" t="s">
        <v>135</v>
      </c>
      <c r="D135" s="233" t="s">
        <v>218</v>
      </c>
      <c r="E135" s="214" t="s">
        <v>218</v>
      </c>
      <c r="F135" s="214" t="s">
        <v>218</v>
      </c>
      <c r="G135" s="214" t="s">
        <v>218</v>
      </c>
      <c r="H135" s="230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D135" s="359"/>
      <c r="AE135" s="377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/>
      <c r="B136" s="191"/>
      <c r="C136" s="220" t="s">
        <v>135</v>
      </c>
      <c r="D136" s="233" t="s">
        <v>218</v>
      </c>
      <c r="E136" s="214" t="s">
        <v>218</v>
      </c>
      <c r="F136" s="214" t="s">
        <v>218</v>
      </c>
      <c r="G136" s="214" t="s">
        <v>218</v>
      </c>
      <c r="H136" s="230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D136" s="359"/>
      <c r="AE136" s="377" t="s">
        <v>200</v>
      </c>
      <c r="AG136" s="183" t="str">
        <f t="shared" si="4"/>
        <v xml:space="preserve">[x,x,x,x,x,0,0,1,0,1]-&gt;[0,0,1,x,x,1,1,x,x,0];   </v>
      </c>
    </row>
    <row r="137" spans="1:33" x14ac:dyDescent="0.25">
      <c r="A137" s="248"/>
      <c r="B137" s="191"/>
      <c r="C137" s="220" t="s">
        <v>135</v>
      </c>
      <c r="D137" s="233" t="s">
        <v>218</v>
      </c>
      <c r="E137" s="214" t="s">
        <v>218</v>
      </c>
      <c r="F137" s="214" t="s">
        <v>218</v>
      </c>
      <c r="G137" s="214" t="s">
        <v>218</v>
      </c>
      <c r="H137" s="230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D137" s="359"/>
      <c r="AE137" s="377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/>
      <c r="B138" s="191"/>
      <c r="C138" s="220" t="s">
        <v>135</v>
      </c>
      <c r="D138" s="233" t="s">
        <v>218</v>
      </c>
      <c r="E138" s="214" t="s">
        <v>218</v>
      </c>
      <c r="F138" s="214" t="s">
        <v>218</v>
      </c>
      <c r="G138" s="214" t="s">
        <v>218</v>
      </c>
      <c r="H138" s="230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D138" s="359"/>
      <c r="AE138" s="377" t="s">
        <v>198</v>
      </c>
      <c r="AG138" s="183" t="str">
        <f t="shared" si="4"/>
        <v xml:space="preserve">[x,x,x,x,x,0,0,1,1,1]-&gt;[0,1,1,x,x,1,1,x,x,0];   </v>
      </c>
    </row>
    <row r="139" spans="1:33" x14ac:dyDescent="0.25">
      <c r="A139" s="248"/>
      <c r="B139" s="191"/>
      <c r="C139" s="220" t="s">
        <v>135</v>
      </c>
      <c r="D139" s="282">
        <v>1</v>
      </c>
      <c r="E139" s="233" t="s">
        <v>218</v>
      </c>
      <c r="F139" s="214" t="s">
        <v>218</v>
      </c>
      <c r="G139" s="282">
        <v>1</v>
      </c>
      <c r="H139" s="230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D139" s="359"/>
      <c r="AE139" s="377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/>
      <c r="B140" s="191"/>
      <c r="C140" s="220" t="s">
        <v>135</v>
      </c>
      <c r="D140" s="283">
        <v>1</v>
      </c>
      <c r="E140" s="233" t="s">
        <v>218</v>
      </c>
      <c r="F140" s="214" t="s">
        <v>218</v>
      </c>
      <c r="G140" s="283">
        <v>1</v>
      </c>
      <c r="H140" s="230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D140" s="359"/>
      <c r="AE140" s="377" t="s">
        <v>195</v>
      </c>
      <c r="AG140" s="183" t="str">
        <f t="shared" si="4"/>
        <v xml:space="preserve">[1,x,x,1,x,0,1,0,0,1]-&gt;[0,0,1,x,x,1,1,x,x,0];   </v>
      </c>
    </row>
    <row r="141" spans="1:33" x14ac:dyDescent="0.25">
      <c r="A141" s="248"/>
      <c r="B141" s="191"/>
      <c r="C141" s="220" t="s">
        <v>135</v>
      </c>
      <c r="D141" s="283">
        <v>1</v>
      </c>
      <c r="E141" s="233" t="s">
        <v>218</v>
      </c>
      <c r="F141" s="214" t="s">
        <v>218</v>
      </c>
      <c r="G141" s="283">
        <v>1</v>
      </c>
      <c r="H141" s="230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D141" s="359"/>
      <c r="AE141" s="377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/>
      <c r="B142" s="191"/>
      <c r="C142" s="220" t="s">
        <v>135</v>
      </c>
      <c r="D142" s="283">
        <v>1</v>
      </c>
      <c r="E142" s="233" t="s">
        <v>218</v>
      </c>
      <c r="F142" s="214" t="s">
        <v>218</v>
      </c>
      <c r="G142" s="283">
        <v>1</v>
      </c>
      <c r="H142" s="230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D142" s="359"/>
      <c r="AE142" s="377" t="s">
        <v>193</v>
      </c>
      <c r="AG142" s="183" t="str">
        <f t="shared" si="4"/>
        <v xml:space="preserve">[1,x,x,1,x,0,1,0,1,1]-&gt;[0,1,1,x,x,1,1,x,x,0];   </v>
      </c>
    </row>
    <row r="143" spans="1:33" x14ac:dyDescent="0.25">
      <c r="A143" s="248"/>
      <c r="B143" s="191"/>
      <c r="C143" s="220" t="s">
        <v>135</v>
      </c>
      <c r="D143" s="283">
        <v>1</v>
      </c>
      <c r="E143" s="233" t="s">
        <v>218</v>
      </c>
      <c r="F143" s="214" t="s">
        <v>218</v>
      </c>
      <c r="G143" s="283">
        <v>1</v>
      </c>
      <c r="H143" s="230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D143" s="359"/>
      <c r="AE143" s="377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/>
      <c r="B144" s="191"/>
      <c r="C144" s="220" t="s">
        <v>135</v>
      </c>
      <c r="D144" s="283">
        <v>1</v>
      </c>
      <c r="E144" s="233" t="s">
        <v>218</v>
      </c>
      <c r="F144" s="214" t="s">
        <v>218</v>
      </c>
      <c r="G144" s="283">
        <v>1</v>
      </c>
      <c r="H144" s="230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D144" s="359"/>
      <c r="AE144" s="377" t="s">
        <v>190</v>
      </c>
      <c r="AG144" s="183" t="str">
        <f t="shared" si="4"/>
        <v xml:space="preserve">[1,x,x,1,x,0,1,1,0,1]-&gt;[0,0,1,x,x,1,1,x,x,0];   </v>
      </c>
    </row>
    <row r="145" spans="1:33" x14ac:dyDescent="0.25">
      <c r="A145" s="248"/>
      <c r="B145" s="191"/>
      <c r="C145" s="220" t="s">
        <v>135</v>
      </c>
      <c r="D145" s="283">
        <v>1</v>
      </c>
      <c r="E145" s="233" t="s">
        <v>218</v>
      </c>
      <c r="F145" s="214" t="s">
        <v>218</v>
      </c>
      <c r="G145" s="283">
        <v>1</v>
      </c>
      <c r="H145" s="230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D145" s="359"/>
      <c r="AE145" s="377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/>
      <c r="B146" s="191"/>
      <c r="C146" s="220" t="s">
        <v>135</v>
      </c>
      <c r="D146" s="283">
        <v>1</v>
      </c>
      <c r="E146" s="233" t="s">
        <v>218</v>
      </c>
      <c r="F146" s="214" t="s">
        <v>218</v>
      </c>
      <c r="G146" s="284">
        <v>1</v>
      </c>
      <c r="H146" s="230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D146" s="360"/>
      <c r="AE146" s="377" t="s">
        <v>186</v>
      </c>
      <c r="AG146" s="183" t="str">
        <f t="shared" si="4"/>
        <v xml:space="preserve">[1,x,x,1,x,0,1,1,1,1]-&gt;[0,1,1,x,x,1,1,x,x,0];   </v>
      </c>
    </row>
    <row r="147" spans="1:33" x14ac:dyDescent="0.25">
      <c r="A147" s="248"/>
      <c r="B147" s="191"/>
      <c r="C147" s="220" t="s">
        <v>135</v>
      </c>
      <c r="D147" s="283">
        <v>1</v>
      </c>
      <c r="E147" s="233" t="s">
        <v>218</v>
      </c>
      <c r="F147" s="214" t="s">
        <v>218</v>
      </c>
      <c r="G147" s="282">
        <v>1</v>
      </c>
      <c r="H147" s="303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0</v>
      </c>
      <c r="R147" s="191">
        <v>1</v>
      </c>
      <c r="S147" s="22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3" t="s">
        <v>216</v>
      </c>
      <c r="AD147" s="250" t="s">
        <v>333</v>
      </c>
      <c r="AE147" s="377" t="s">
        <v>183</v>
      </c>
      <c r="AG147" s="183" t="str">
        <f t="shared" si="4"/>
        <v>[1,x,x,1,0,1,0,0,0,0]-&gt;[0,1,0,x,x,1,1,x,x,0];   "leer geblendet</v>
      </c>
    </row>
    <row r="148" spans="1:33" x14ac:dyDescent="0.25">
      <c r="A148" s="248"/>
      <c r="B148" s="191"/>
      <c r="C148" s="220" t="s">
        <v>135</v>
      </c>
      <c r="D148" s="283">
        <v>1</v>
      </c>
      <c r="E148" s="233" t="s">
        <v>218</v>
      </c>
      <c r="F148" s="214" t="s">
        <v>218</v>
      </c>
      <c r="G148" s="283">
        <v>1</v>
      </c>
      <c r="H148" s="304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0</v>
      </c>
      <c r="R148" s="191">
        <v>1</v>
      </c>
      <c r="S148" s="221">
        <v>0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D148" s="250"/>
      <c r="AE148" s="377" t="s">
        <v>182</v>
      </c>
      <c r="AG148" s="183" t="str">
        <f t="shared" si="4"/>
        <v xml:space="preserve">[1,x,x,1,0,1,0,0,0,1]-&gt;[0,1,0,x,x,1,1,x,x,0];   </v>
      </c>
    </row>
    <row r="149" spans="1:33" x14ac:dyDescent="0.25">
      <c r="A149" s="248"/>
      <c r="B149" s="191"/>
      <c r="C149" s="220" t="s">
        <v>135</v>
      </c>
      <c r="D149" s="283">
        <v>1</v>
      </c>
      <c r="E149" s="233" t="s">
        <v>218</v>
      </c>
      <c r="F149" s="214" t="s">
        <v>218</v>
      </c>
      <c r="G149" s="283">
        <v>1</v>
      </c>
      <c r="H149" s="304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0</v>
      </c>
      <c r="R149" s="191">
        <v>1</v>
      </c>
      <c r="S149" s="22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D149" s="250"/>
      <c r="AE149" s="377" t="s">
        <v>181</v>
      </c>
      <c r="AG149" s="183" t="str">
        <f t="shared" si="4"/>
        <v xml:space="preserve">[1,x,x,1,0,1,0,0,1,0]-&gt;[0,1,0,x,x,1,1,x,x,0];   </v>
      </c>
    </row>
    <row r="150" spans="1:33" ht="15.75" thickBot="1" x14ac:dyDescent="0.3">
      <c r="A150" s="248"/>
      <c r="B150" s="191"/>
      <c r="C150" s="220" t="s">
        <v>135</v>
      </c>
      <c r="D150" s="283">
        <v>1</v>
      </c>
      <c r="E150" s="233" t="s">
        <v>218</v>
      </c>
      <c r="F150" s="214" t="s">
        <v>218</v>
      </c>
      <c r="G150" s="283">
        <v>1</v>
      </c>
      <c r="H150" s="305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0</v>
      </c>
      <c r="R150" s="191">
        <v>1</v>
      </c>
      <c r="S150" s="221">
        <v>0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D150" s="250"/>
      <c r="AE150" s="377" t="s">
        <v>180</v>
      </c>
      <c r="AG150" s="183" t="str">
        <f t="shared" si="4"/>
        <v xml:space="preserve">[1,x,x,1,0,1,0,0,1,1]-&gt;[0,1,0,x,x,1,1,x,x,0];   </v>
      </c>
    </row>
    <row r="151" spans="1:33" x14ac:dyDescent="0.25">
      <c r="A151" s="248"/>
      <c r="B151" s="191"/>
      <c r="C151" s="220" t="s">
        <v>135</v>
      </c>
      <c r="D151" s="283">
        <v>1</v>
      </c>
      <c r="E151" s="233" t="s">
        <v>218</v>
      </c>
      <c r="F151" s="214" t="s">
        <v>218</v>
      </c>
      <c r="G151" s="283">
        <v>1</v>
      </c>
      <c r="H151" s="303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0</v>
      </c>
      <c r="R151" s="191">
        <v>1</v>
      </c>
      <c r="S151" s="22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D151" s="250"/>
      <c r="AE151" s="377" t="s">
        <v>178</v>
      </c>
      <c r="AG151" s="183" t="str">
        <f t="shared" si="4"/>
        <v xml:space="preserve">[1,x,x,1,0,1,0,1,0,0]-&gt;[0,1,0,x,x,1,1,x,x,0];   </v>
      </c>
    </row>
    <row r="152" spans="1:33" x14ac:dyDescent="0.25">
      <c r="A152" s="248"/>
      <c r="B152" s="191"/>
      <c r="C152" s="220" t="s">
        <v>135</v>
      </c>
      <c r="D152" s="283">
        <v>1</v>
      </c>
      <c r="E152" s="233" t="s">
        <v>218</v>
      </c>
      <c r="F152" s="214" t="s">
        <v>218</v>
      </c>
      <c r="G152" s="283">
        <v>1</v>
      </c>
      <c r="H152" s="304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0</v>
      </c>
      <c r="R152" s="191">
        <v>1</v>
      </c>
      <c r="S152" s="221">
        <v>0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D152" s="250"/>
      <c r="AE152" s="377" t="s">
        <v>177</v>
      </c>
      <c r="AG152" s="183" t="str">
        <f t="shared" si="4"/>
        <v xml:space="preserve">[1,x,x,1,0,1,0,1,0,1]-&gt;[0,1,0,x,x,1,1,x,x,0];   </v>
      </c>
    </row>
    <row r="153" spans="1:33" x14ac:dyDescent="0.25">
      <c r="A153" s="248"/>
      <c r="B153" s="191"/>
      <c r="C153" s="220" t="s">
        <v>135</v>
      </c>
      <c r="D153" s="283">
        <v>1</v>
      </c>
      <c r="E153" s="233" t="s">
        <v>218</v>
      </c>
      <c r="F153" s="214" t="s">
        <v>218</v>
      </c>
      <c r="G153" s="283">
        <v>1</v>
      </c>
      <c r="H153" s="304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0</v>
      </c>
      <c r="R153" s="191">
        <v>1</v>
      </c>
      <c r="S153" s="22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D153" s="250"/>
      <c r="AE153" s="377" t="s">
        <v>176</v>
      </c>
      <c r="AG153" s="183" t="str">
        <f t="shared" si="4"/>
        <v xml:space="preserve">[1,x,x,1,0,1,0,1,1,0]-&gt;[0,1,0,x,x,1,1,x,x,0];   </v>
      </c>
    </row>
    <row r="154" spans="1:33" ht="15.75" thickBot="1" x14ac:dyDescent="0.3">
      <c r="A154" s="248"/>
      <c r="B154" s="191"/>
      <c r="C154" s="220" t="s">
        <v>135</v>
      </c>
      <c r="D154" s="283">
        <v>1</v>
      </c>
      <c r="E154" s="233" t="s">
        <v>218</v>
      </c>
      <c r="F154" s="214" t="s">
        <v>218</v>
      </c>
      <c r="G154" s="284">
        <v>1</v>
      </c>
      <c r="H154" s="305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0</v>
      </c>
      <c r="R154" s="191">
        <v>1</v>
      </c>
      <c r="S154" s="221">
        <v>0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D154" s="251"/>
      <c r="AE154" s="377" t="s">
        <v>175</v>
      </c>
      <c r="AG154" s="183" t="str">
        <f t="shared" si="4"/>
        <v xml:space="preserve">[1,x,x,1,0,1,0,1,1,1]-&gt;[0,1,0,x,x,1,1,x,x,0];   </v>
      </c>
    </row>
    <row r="155" spans="1:33" x14ac:dyDescent="0.25">
      <c r="A155" s="248"/>
      <c r="B155" s="191"/>
      <c r="C155" s="220" t="s">
        <v>135</v>
      </c>
      <c r="D155" s="283">
        <v>1</v>
      </c>
      <c r="E155" s="388">
        <v>0</v>
      </c>
      <c r="F155" s="214" t="s">
        <v>218</v>
      </c>
      <c r="G155" s="282">
        <v>1</v>
      </c>
      <c r="H155" s="303">
        <v>0</v>
      </c>
      <c r="I155" s="217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191">
        <v>1</v>
      </c>
      <c r="R155" s="191">
        <v>0</v>
      </c>
      <c r="S155" s="191">
        <v>0</v>
      </c>
      <c r="T155" s="233" t="s">
        <v>218</v>
      </c>
      <c r="U155" s="230" t="s">
        <v>218</v>
      </c>
      <c r="V155" s="191">
        <v>1</v>
      </c>
      <c r="W155" s="191">
        <v>1</v>
      </c>
      <c r="X155" s="233" t="s">
        <v>218</v>
      </c>
      <c r="Y155" s="230" t="s">
        <v>218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58" t="s">
        <v>217</v>
      </c>
      <c r="AE155" s="377" t="s">
        <v>172</v>
      </c>
      <c r="AG155" s="183" t="str">
        <f t="shared" si="4"/>
        <v>[1,0,x,1,0,1,1,0,0,0]-&gt;[1,0,0,x,x,1,1,x,x,0];   "Low-Rom auf dem Board</v>
      </c>
    </row>
    <row r="156" spans="1:33" x14ac:dyDescent="0.25">
      <c r="A156" s="248"/>
      <c r="B156" s="191"/>
      <c r="C156" s="220" t="s">
        <v>135</v>
      </c>
      <c r="D156" s="283">
        <v>1</v>
      </c>
      <c r="E156" s="389">
        <v>0</v>
      </c>
      <c r="F156" s="214" t="s">
        <v>218</v>
      </c>
      <c r="G156" s="283">
        <v>1</v>
      </c>
      <c r="H156" s="304">
        <v>0</v>
      </c>
      <c r="I156" s="191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191">
        <v>1</v>
      </c>
      <c r="R156" s="191">
        <v>0</v>
      </c>
      <c r="S156" s="191">
        <v>1</v>
      </c>
      <c r="T156" s="233" t="s">
        <v>218</v>
      </c>
      <c r="U156" s="230" t="s">
        <v>218</v>
      </c>
      <c r="V156" s="191">
        <v>1</v>
      </c>
      <c r="W156" s="191">
        <v>1</v>
      </c>
      <c r="X156" s="233" t="s">
        <v>218</v>
      </c>
      <c r="Y156" s="230" t="s">
        <v>218</v>
      </c>
      <c r="Z156" s="191">
        <v>0</v>
      </c>
      <c r="AA156" s="191" t="s">
        <v>134</v>
      </c>
      <c r="AB156" s="221" t="s">
        <v>130</v>
      </c>
      <c r="AD156" s="359"/>
      <c r="AE156" s="377" t="s">
        <v>171</v>
      </c>
      <c r="AG156" s="183" t="str">
        <f t="shared" si="4"/>
        <v xml:space="preserve">[1,0,x,1,0,1,1,0,0,1]-&gt;[1,0,1,x,x,1,1,x,x,0];   </v>
      </c>
    </row>
    <row r="157" spans="1:33" ht="15.75" customHeight="1" x14ac:dyDescent="0.25">
      <c r="A157" s="248"/>
      <c r="B157" s="191"/>
      <c r="C157" s="220" t="s">
        <v>135</v>
      </c>
      <c r="D157" s="283">
        <v>1</v>
      </c>
      <c r="E157" s="389">
        <v>0</v>
      </c>
      <c r="F157" s="214" t="s">
        <v>218</v>
      </c>
      <c r="G157" s="283">
        <v>1</v>
      </c>
      <c r="H157" s="304">
        <v>0</v>
      </c>
      <c r="I157" s="191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191">
        <v>1</v>
      </c>
      <c r="R157" s="191">
        <v>1</v>
      </c>
      <c r="S157" s="191">
        <v>0</v>
      </c>
      <c r="T157" s="233" t="s">
        <v>218</v>
      </c>
      <c r="U157" s="230" t="s">
        <v>218</v>
      </c>
      <c r="V157" s="191">
        <v>1</v>
      </c>
      <c r="W157" s="191">
        <v>1</v>
      </c>
      <c r="X157" s="233" t="s">
        <v>218</v>
      </c>
      <c r="Y157" s="230" t="s">
        <v>218</v>
      </c>
      <c r="Z157" s="191">
        <v>0</v>
      </c>
      <c r="AA157" s="191" t="s">
        <v>134</v>
      </c>
      <c r="AB157" s="221" t="s">
        <v>130</v>
      </c>
      <c r="AC157" s="241"/>
      <c r="AD157" s="359"/>
      <c r="AE157" s="377" t="s">
        <v>170</v>
      </c>
      <c r="AG157" s="183" t="str">
        <f t="shared" si="4"/>
        <v xml:space="preserve">[1,0,x,1,0,1,1,0,1,0]-&gt;[1,1,0,x,x,1,1,x,x,0];   </v>
      </c>
    </row>
    <row r="158" spans="1:33" ht="15.75" thickBot="1" x14ac:dyDescent="0.3">
      <c r="A158" s="248"/>
      <c r="B158" s="191"/>
      <c r="C158" s="220" t="s">
        <v>135</v>
      </c>
      <c r="D158" s="283">
        <v>1</v>
      </c>
      <c r="E158" s="390">
        <v>0</v>
      </c>
      <c r="F158" s="214" t="s">
        <v>218</v>
      </c>
      <c r="G158" s="284">
        <v>1</v>
      </c>
      <c r="H158" s="305">
        <v>0</v>
      </c>
      <c r="I158" s="223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191">
        <v>1</v>
      </c>
      <c r="R158" s="191">
        <v>1</v>
      </c>
      <c r="S158" s="191">
        <v>1</v>
      </c>
      <c r="T158" s="233" t="s">
        <v>218</v>
      </c>
      <c r="U158" s="230" t="s">
        <v>218</v>
      </c>
      <c r="V158" s="191">
        <v>1</v>
      </c>
      <c r="W158" s="191">
        <v>1</v>
      </c>
      <c r="X158" s="233" t="s">
        <v>218</v>
      </c>
      <c r="Y158" s="230" t="s">
        <v>218</v>
      </c>
      <c r="Z158" s="191">
        <v>0</v>
      </c>
      <c r="AA158" s="191" t="s">
        <v>134</v>
      </c>
      <c r="AB158" s="221" t="s">
        <v>130</v>
      </c>
      <c r="AC158" s="241"/>
      <c r="AD158" s="360"/>
      <c r="AE158" s="377" t="s">
        <v>169</v>
      </c>
      <c r="AG158" s="183" t="str">
        <f t="shared" si="4"/>
        <v xml:space="preserve">[1,0,x,1,0,1,1,0,1,1]-&gt;[1,1,1,x,x,1,1,x,x,0];   </v>
      </c>
    </row>
    <row r="159" spans="1:33" x14ac:dyDescent="0.25">
      <c r="A159" s="248"/>
      <c r="B159" s="191"/>
      <c r="C159" s="220" t="s">
        <v>135</v>
      </c>
      <c r="D159" s="283">
        <v>1</v>
      </c>
      <c r="E159" s="233" t="s">
        <v>218</v>
      </c>
      <c r="F159" s="214" t="s">
        <v>218</v>
      </c>
      <c r="G159" s="282">
        <v>1</v>
      </c>
      <c r="H159" s="303">
        <v>0</v>
      </c>
      <c r="I159" s="217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5">
        <v>0</v>
      </c>
      <c r="R159" s="226">
        <v>1</v>
      </c>
      <c r="S159" s="236">
        <v>0</v>
      </c>
      <c r="T159" s="235">
        <v>0</v>
      </c>
      <c r="U159" s="236">
        <v>1</v>
      </c>
      <c r="V159" s="303">
        <v>0</v>
      </c>
      <c r="W159" s="191">
        <v>1</v>
      </c>
      <c r="X159" s="235">
        <v>0</v>
      </c>
      <c r="Y159" s="236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02" t="s">
        <v>272</v>
      </c>
      <c r="AE159" s="377" t="s">
        <v>168</v>
      </c>
      <c r="AG159" s="183" t="str">
        <f t="shared" si="4"/>
        <v>[1,x,x,1,0,1,1,1,0,0]-&gt;[0,1,0,0,1,0,1,0,0,0];   "High-Rom auf ProfDos (Speeddos)</v>
      </c>
    </row>
    <row r="160" spans="1:33" x14ac:dyDescent="0.25">
      <c r="A160" s="248"/>
      <c r="B160" s="191"/>
      <c r="C160" s="220" t="s">
        <v>135</v>
      </c>
      <c r="D160" s="283">
        <v>1</v>
      </c>
      <c r="E160" s="233" t="s">
        <v>218</v>
      </c>
      <c r="F160" s="214" t="s">
        <v>218</v>
      </c>
      <c r="G160" s="283">
        <v>1</v>
      </c>
      <c r="H160" s="304">
        <v>0</v>
      </c>
      <c r="I160" s="191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04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0"/>
      <c r="AE160" s="377" t="s">
        <v>167</v>
      </c>
      <c r="AG160" s="183" t="str">
        <f t="shared" si="4"/>
        <v xml:space="preserve">[1,x,x,1,0,1,1,1,0,1]-&gt;[0,1,0,0,1,0,1,0,0,0];   </v>
      </c>
    </row>
    <row r="161" spans="1:33" x14ac:dyDescent="0.25">
      <c r="A161" s="248"/>
      <c r="B161" s="191"/>
      <c r="C161" s="220" t="s">
        <v>135</v>
      </c>
      <c r="D161" s="283">
        <v>1</v>
      </c>
      <c r="E161" s="233" t="s">
        <v>218</v>
      </c>
      <c r="F161" s="214" t="s">
        <v>218</v>
      </c>
      <c r="G161" s="283">
        <v>1</v>
      </c>
      <c r="H161" s="304">
        <v>0</v>
      </c>
      <c r="I161" s="191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04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0"/>
      <c r="AE161" s="377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84">
        <v>1</v>
      </c>
      <c r="E162" s="234" t="s">
        <v>218</v>
      </c>
      <c r="F162" s="229" t="s">
        <v>218</v>
      </c>
      <c r="G162" s="284">
        <v>1</v>
      </c>
      <c r="H162" s="305">
        <v>0</v>
      </c>
      <c r="I162" s="223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9">
        <v>0</v>
      </c>
      <c r="R162" s="227">
        <v>1</v>
      </c>
      <c r="S162" s="240">
        <v>0</v>
      </c>
      <c r="T162" s="239">
        <v>0</v>
      </c>
      <c r="U162" s="240">
        <v>1</v>
      </c>
      <c r="V162" s="305">
        <v>0</v>
      </c>
      <c r="W162" s="191">
        <v>1</v>
      </c>
      <c r="X162" s="239">
        <v>0</v>
      </c>
      <c r="Y162" s="240">
        <v>0</v>
      </c>
      <c r="Z162" s="191">
        <v>0</v>
      </c>
      <c r="AA162" s="191" t="s">
        <v>134</v>
      </c>
      <c r="AB162" s="221" t="s">
        <v>130</v>
      </c>
      <c r="AC162" s="241"/>
      <c r="AD162" s="301"/>
      <c r="AE162" s="378" t="s">
        <v>165</v>
      </c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/>
      <c r="B163" s="191"/>
      <c r="C163" s="216" t="s">
        <v>135</v>
      </c>
      <c r="D163" s="273">
        <v>1</v>
      </c>
      <c r="E163" s="228" t="s">
        <v>218</v>
      </c>
      <c r="F163" s="306">
        <v>0</v>
      </c>
      <c r="G163" s="228" t="s">
        <v>218</v>
      </c>
      <c r="H163" s="267" t="s">
        <v>218</v>
      </c>
      <c r="I163" s="191">
        <v>0</v>
      </c>
      <c r="J163" s="191">
        <v>0</v>
      </c>
      <c r="K163" s="191">
        <v>0</v>
      </c>
      <c r="L163" s="191">
        <v>0</v>
      </c>
      <c r="M163" s="191">
        <v>0</v>
      </c>
      <c r="N163" s="191" t="s">
        <v>134</v>
      </c>
      <c r="O163" s="211" t="s">
        <v>212</v>
      </c>
      <c r="P163" s="191" t="s">
        <v>135</v>
      </c>
      <c r="Q163" s="191">
        <v>0</v>
      </c>
      <c r="R163" s="191">
        <v>0</v>
      </c>
      <c r="S163" s="191">
        <v>0</v>
      </c>
      <c r="T163" s="233" t="s">
        <v>218</v>
      </c>
      <c r="U163" s="230" t="s">
        <v>218</v>
      </c>
      <c r="V163" s="191">
        <v>1</v>
      </c>
      <c r="W163" s="191">
        <v>1</v>
      </c>
      <c r="X163" s="233" t="s">
        <v>218</v>
      </c>
      <c r="Y163" s="230" t="s">
        <v>218</v>
      </c>
      <c r="Z163" s="225">
        <v>0</v>
      </c>
      <c r="AA163" s="217" t="s">
        <v>134</v>
      </c>
      <c r="AB163" s="219" t="s">
        <v>130</v>
      </c>
      <c r="AC163" s="242" t="s">
        <v>216</v>
      </c>
      <c r="AD163" s="385" t="s">
        <v>335</v>
      </c>
      <c r="AE163" s="376" t="s">
        <v>208</v>
      </c>
      <c r="AG163" s="183" t="str">
        <f t="shared" si="4"/>
        <v>[1,x,0,x,x,0,0,0,0,0]-&gt;[0,0,0,x,x,1,1,x,x,0];   "Ram OnBoard</v>
      </c>
    </row>
    <row r="164" spans="1:33" x14ac:dyDescent="0.25">
      <c r="A164" s="248"/>
      <c r="B164" s="191"/>
      <c r="C164" s="220" t="s">
        <v>135</v>
      </c>
      <c r="D164" s="233" t="s">
        <v>218</v>
      </c>
      <c r="E164" s="214" t="s">
        <v>218</v>
      </c>
      <c r="F164" s="214" t="s">
        <v>218</v>
      </c>
      <c r="G164" s="214" t="s">
        <v>218</v>
      </c>
      <c r="H164" s="304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370" t="s">
        <v>271</v>
      </c>
      <c r="AE164" s="377" t="s">
        <v>207</v>
      </c>
      <c r="AG164" s="183" t="str">
        <f t="shared" ref="AG164:AG194" si="5">C164&amp;D164&amp;","&amp;E164&amp;","&amp;F164&amp;","&amp;G164&amp;","&amp;H164&amp;","&amp;I164&amp;","&amp;J164&amp;","&amp;K164&amp;","&amp;L164&amp;","&amp;M164&amp;N164&amp;O164&amp;P164&amp;Q164&amp;","&amp;R164&amp;","&amp;S164&amp;","&amp;T164&amp;","&amp;U164&amp;","&amp;V164&amp;","&amp;W164&amp;","&amp;X164&amp;","&amp;Y164&amp;","&amp;Z164&amp;AA164&amp;AB164&amp;"   "&amp;AC164&amp;AD164</f>
        <v>[x,x,x,x,x,0,0,0,0,1]-&gt;[0,0,1,x,x,1,1,x,x,0];   "Speeddos</v>
      </c>
    </row>
    <row r="165" spans="1:33" x14ac:dyDescent="0.25">
      <c r="A165" s="248"/>
      <c r="B165" s="191"/>
      <c r="C165" s="220" t="s">
        <v>135</v>
      </c>
      <c r="D165" s="233" t="s">
        <v>218</v>
      </c>
      <c r="E165" s="214" t="s">
        <v>218</v>
      </c>
      <c r="F165" s="214" t="s">
        <v>218</v>
      </c>
      <c r="G165" s="214" t="s">
        <v>218</v>
      </c>
      <c r="H165" s="304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C165" s="243" t="s">
        <v>216</v>
      </c>
      <c r="AD165" s="369" t="s">
        <v>332</v>
      </c>
      <c r="AE165" s="377" t="s">
        <v>206</v>
      </c>
      <c r="AG165" s="183" t="str">
        <f t="shared" si="5"/>
        <v>[x,x,x,x,x,0,0,0,1,0]-&gt;[0,1,0,x,x,1,1,x,x,0];   "Codierung 1:1</v>
      </c>
    </row>
    <row r="166" spans="1:33" ht="15.75" thickBot="1" x14ac:dyDescent="0.3">
      <c r="A166" s="248"/>
      <c r="B166" s="191"/>
      <c r="C166" s="220" t="s">
        <v>135</v>
      </c>
      <c r="D166" s="233" t="s">
        <v>218</v>
      </c>
      <c r="E166" s="214" t="s">
        <v>218</v>
      </c>
      <c r="F166" s="214" t="s">
        <v>218</v>
      </c>
      <c r="G166" s="214" t="s">
        <v>218</v>
      </c>
      <c r="H166" s="305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C166" s="241"/>
      <c r="AD166" s="369"/>
      <c r="AE166" s="377" t="s">
        <v>205</v>
      </c>
      <c r="AG166" s="183" t="str">
        <f t="shared" si="5"/>
        <v xml:space="preserve">[x,x,x,x,x,0,0,0,1,1]-&gt;[0,1,1,x,x,1,1,x,x,0];   </v>
      </c>
    </row>
    <row r="167" spans="1:33" x14ac:dyDescent="0.25">
      <c r="A167" s="248"/>
      <c r="B167" s="191"/>
      <c r="C167" s="220" t="s">
        <v>135</v>
      </c>
      <c r="D167" s="233" t="s">
        <v>218</v>
      </c>
      <c r="E167" s="214" t="s">
        <v>218</v>
      </c>
      <c r="F167" s="214" t="s">
        <v>218</v>
      </c>
      <c r="G167" s="214" t="s">
        <v>218</v>
      </c>
      <c r="H167" s="303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C167" s="241"/>
      <c r="AD167" s="369"/>
      <c r="AE167" s="377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/>
      <c r="B168" s="191"/>
      <c r="C168" s="220" t="s">
        <v>135</v>
      </c>
      <c r="D168" s="233" t="s">
        <v>218</v>
      </c>
      <c r="E168" s="214" t="s">
        <v>218</v>
      </c>
      <c r="F168" s="214" t="s">
        <v>218</v>
      </c>
      <c r="G168" s="214" t="s">
        <v>218</v>
      </c>
      <c r="H168" s="304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C168" s="241"/>
      <c r="AD168" s="369"/>
      <c r="AE168" s="377" t="s">
        <v>200</v>
      </c>
      <c r="AG168" s="183" t="str">
        <f t="shared" si="5"/>
        <v xml:space="preserve">[x,x,x,x,x,0,0,1,0,1]-&gt;[0,0,1,x,x,1,1,x,x,0];   </v>
      </c>
    </row>
    <row r="169" spans="1:33" x14ac:dyDescent="0.25">
      <c r="A169" s="248"/>
      <c r="B169" s="191"/>
      <c r="C169" s="220" t="s">
        <v>135</v>
      </c>
      <c r="D169" s="233" t="s">
        <v>218</v>
      </c>
      <c r="E169" s="214" t="s">
        <v>218</v>
      </c>
      <c r="F169" s="214" t="s">
        <v>218</v>
      </c>
      <c r="G169" s="214" t="s">
        <v>218</v>
      </c>
      <c r="H169" s="304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C169" s="241"/>
      <c r="AD169" s="369"/>
      <c r="AE169" s="377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/>
      <c r="B170" s="191"/>
      <c r="C170" s="220" t="s">
        <v>135</v>
      </c>
      <c r="D170" s="233" t="s">
        <v>218</v>
      </c>
      <c r="E170" s="214" t="s">
        <v>218</v>
      </c>
      <c r="F170" s="214" t="s">
        <v>218</v>
      </c>
      <c r="G170" s="214" t="s">
        <v>218</v>
      </c>
      <c r="H170" s="305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C170" s="241"/>
      <c r="AD170" s="369"/>
      <c r="AE170" s="377" t="s">
        <v>198</v>
      </c>
      <c r="AG170" s="183" t="str">
        <f t="shared" si="5"/>
        <v xml:space="preserve">[x,x,x,x,x,0,0,1,1,1]-&gt;[0,1,1,x,x,1,1,x,x,0];   </v>
      </c>
    </row>
    <row r="171" spans="1:33" x14ac:dyDescent="0.25">
      <c r="A171" s="248"/>
      <c r="B171" s="191"/>
      <c r="C171" s="220" t="s">
        <v>135</v>
      </c>
      <c r="D171" s="282">
        <v>1</v>
      </c>
      <c r="E171" s="233" t="s">
        <v>218</v>
      </c>
      <c r="F171" s="214" t="s">
        <v>218</v>
      </c>
      <c r="G171" s="282">
        <v>1</v>
      </c>
      <c r="H171" s="394" t="s">
        <v>218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C171" s="241"/>
      <c r="AD171" s="369"/>
      <c r="AE171" s="377" t="s">
        <v>196</v>
      </c>
      <c r="AG171" s="183" t="str">
        <f t="shared" si="5"/>
        <v xml:space="preserve">[1,x,x,1,x,0,1,0,0,0]-&gt;[0,0,0,x,x,1,1,x,x,0];   </v>
      </c>
    </row>
    <row r="172" spans="1:33" x14ac:dyDescent="0.25">
      <c r="A172" s="248"/>
      <c r="B172" s="191"/>
      <c r="C172" s="220" t="s">
        <v>135</v>
      </c>
      <c r="D172" s="283">
        <v>1</v>
      </c>
      <c r="E172" s="233" t="s">
        <v>218</v>
      </c>
      <c r="F172" s="214" t="s">
        <v>218</v>
      </c>
      <c r="G172" s="283">
        <v>1</v>
      </c>
      <c r="H172" s="281" t="s">
        <v>218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C172" s="241"/>
      <c r="AD172" s="369"/>
      <c r="AE172" s="377" t="s">
        <v>195</v>
      </c>
      <c r="AG172" s="183" t="str">
        <f t="shared" si="5"/>
        <v xml:space="preserve">[1,x,x,1,x,0,1,0,0,1]-&gt;[0,0,1,x,x,1,1,x,x,0];   </v>
      </c>
    </row>
    <row r="173" spans="1:33" x14ac:dyDescent="0.25">
      <c r="A173" s="248"/>
      <c r="B173" s="191"/>
      <c r="C173" s="220" t="s">
        <v>135</v>
      </c>
      <c r="D173" s="283">
        <v>1</v>
      </c>
      <c r="E173" s="233" t="s">
        <v>218</v>
      </c>
      <c r="F173" s="214" t="s">
        <v>218</v>
      </c>
      <c r="G173" s="283">
        <v>1</v>
      </c>
      <c r="H173" s="281" t="s">
        <v>218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C173" s="241"/>
      <c r="AD173" s="369"/>
      <c r="AE173" s="377" t="s">
        <v>194</v>
      </c>
      <c r="AG173" s="183" t="str">
        <f t="shared" si="5"/>
        <v xml:space="preserve">[1,x,x,1,x,0,1,0,1,0]-&gt;[0,1,0,x,x,1,1,x,x,0];   </v>
      </c>
    </row>
    <row r="174" spans="1:33" ht="15.75" thickBot="1" x14ac:dyDescent="0.3">
      <c r="A174" s="248"/>
      <c r="B174" s="191"/>
      <c r="C174" s="220" t="s">
        <v>135</v>
      </c>
      <c r="D174" s="283">
        <v>1</v>
      </c>
      <c r="E174" s="233" t="s">
        <v>218</v>
      </c>
      <c r="F174" s="214" t="s">
        <v>218</v>
      </c>
      <c r="G174" s="283">
        <v>1</v>
      </c>
      <c r="H174" s="387" t="s">
        <v>218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C174" s="241"/>
      <c r="AD174" s="369"/>
      <c r="AE174" s="377" t="s">
        <v>193</v>
      </c>
      <c r="AG174" s="183" t="str">
        <f t="shared" si="5"/>
        <v xml:space="preserve">[1,x,x,1,x,0,1,0,1,1]-&gt;[0,1,1,x,x,1,1,x,x,0];   </v>
      </c>
    </row>
    <row r="175" spans="1:33" x14ac:dyDescent="0.25">
      <c r="A175" s="248"/>
      <c r="B175" s="191"/>
      <c r="C175" s="220" t="s">
        <v>135</v>
      </c>
      <c r="D175" s="283">
        <v>1</v>
      </c>
      <c r="E175" s="233" t="s">
        <v>218</v>
      </c>
      <c r="F175" s="214" t="s">
        <v>218</v>
      </c>
      <c r="G175" s="283">
        <v>1</v>
      </c>
      <c r="H175" s="394" t="s">
        <v>218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C175" s="241"/>
      <c r="AD175" s="369"/>
      <c r="AE175" s="377" t="s">
        <v>191</v>
      </c>
      <c r="AG175" s="183" t="str">
        <f t="shared" si="5"/>
        <v xml:space="preserve">[1,x,x,1,x,0,1,1,0,0]-&gt;[0,0,0,x,x,1,1,x,x,0];   </v>
      </c>
    </row>
    <row r="176" spans="1:33" x14ac:dyDescent="0.25">
      <c r="A176" s="248"/>
      <c r="B176" s="191"/>
      <c r="C176" s="220" t="s">
        <v>135</v>
      </c>
      <c r="D176" s="283">
        <v>1</v>
      </c>
      <c r="E176" s="233" t="s">
        <v>218</v>
      </c>
      <c r="F176" s="214" t="s">
        <v>218</v>
      </c>
      <c r="G176" s="283">
        <v>1</v>
      </c>
      <c r="H176" s="281" t="s">
        <v>218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C176" s="241"/>
      <c r="AD176" s="369"/>
      <c r="AE176" s="377" t="s">
        <v>190</v>
      </c>
      <c r="AG176" s="183" t="str">
        <f t="shared" si="5"/>
        <v xml:space="preserve">[1,x,x,1,x,0,1,1,0,1]-&gt;[0,0,1,x,x,1,1,x,x,0];   </v>
      </c>
    </row>
    <row r="177" spans="1:33" x14ac:dyDescent="0.25">
      <c r="A177" s="248"/>
      <c r="B177" s="191"/>
      <c r="C177" s="220" t="s">
        <v>135</v>
      </c>
      <c r="D177" s="283">
        <v>1</v>
      </c>
      <c r="E177" s="233" t="s">
        <v>218</v>
      </c>
      <c r="F177" s="214" t="s">
        <v>218</v>
      </c>
      <c r="G177" s="283">
        <v>1</v>
      </c>
      <c r="H177" s="281" t="s">
        <v>218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C177" s="241"/>
      <c r="AD177" s="369"/>
      <c r="AE177" s="377" t="s">
        <v>188</v>
      </c>
      <c r="AG177" s="183" t="str">
        <f t="shared" si="5"/>
        <v xml:space="preserve">[1,x,x,1,x,0,1,1,1,0]-&gt;[0,1,0,x,x,1,1,x,x,0];   </v>
      </c>
    </row>
    <row r="178" spans="1:33" ht="15.75" thickBot="1" x14ac:dyDescent="0.3">
      <c r="A178" s="248"/>
      <c r="B178" s="191"/>
      <c r="C178" s="220" t="s">
        <v>135</v>
      </c>
      <c r="D178" s="283">
        <v>1</v>
      </c>
      <c r="E178" s="233" t="s">
        <v>218</v>
      </c>
      <c r="F178" s="214" t="s">
        <v>218</v>
      </c>
      <c r="G178" s="284">
        <v>1</v>
      </c>
      <c r="H178" s="387" t="s">
        <v>218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C178" s="241"/>
      <c r="AD178" s="369"/>
      <c r="AE178" s="377" t="s">
        <v>186</v>
      </c>
      <c r="AG178" s="183" t="str">
        <f t="shared" si="5"/>
        <v xml:space="preserve">[1,x,x,1,x,0,1,1,1,1]-&gt;[0,1,1,x,x,1,1,x,x,0];   </v>
      </c>
    </row>
    <row r="179" spans="1:33" x14ac:dyDescent="0.25">
      <c r="A179" s="248"/>
      <c r="B179" s="191"/>
      <c r="C179" s="220" t="s">
        <v>135</v>
      </c>
      <c r="D179" s="283">
        <v>1</v>
      </c>
      <c r="E179" s="233" t="s">
        <v>218</v>
      </c>
      <c r="F179" s="214" t="s">
        <v>218</v>
      </c>
      <c r="G179" s="282">
        <v>1</v>
      </c>
      <c r="H179" s="303">
        <v>0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0</v>
      </c>
      <c r="R179" s="191">
        <v>1</v>
      </c>
      <c r="S179" s="221">
        <v>0</v>
      </c>
      <c r="T179" s="233" t="s">
        <v>218</v>
      </c>
      <c r="U179" s="230" t="s">
        <v>218</v>
      </c>
      <c r="V179" s="191">
        <v>1</v>
      </c>
      <c r="W179" s="191">
        <v>1</v>
      </c>
      <c r="X179" s="233" t="s">
        <v>218</v>
      </c>
      <c r="Y179" s="230" t="s">
        <v>218</v>
      </c>
      <c r="Z179" s="191">
        <v>0</v>
      </c>
      <c r="AA179" s="191" t="s">
        <v>134</v>
      </c>
      <c r="AB179" s="221" t="s">
        <v>130</v>
      </c>
      <c r="AC179" s="243" t="s">
        <v>216</v>
      </c>
      <c r="AD179" s="357" t="s">
        <v>333</v>
      </c>
      <c r="AE179" s="377" t="s">
        <v>183</v>
      </c>
      <c r="AG179" s="183" t="str">
        <f t="shared" si="5"/>
        <v>[1,x,x,1,0,1,0,0,0,0]-&gt;[0,1,0,x,x,1,1,x,x,0];   "leer geblendet</v>
      </c>
    </row>
    <row r="180" spans="1:33" x14ac:dyDescent="0.25">
      <c r="A180" s="248"/>
      <c r="B180" s="191"/>
      <c r="C180" s="220" t="s">
        <v>135</v>
      </c>
      <c r="D180" s="283">
        <v>1</v>
      </c>
      <c r="E180" s="233" t="s">
        <v>218</v>
      </c>
      <c r="F180" s="214" t="s">
        <v>218</v>
      </c>
      <c r="G180" s="283">
        <v>1</v>
      </c>
      <c r="H180" s="304">
        <v>0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0</v>
      </c>
      <c r="R180" s="191">
        <v>1</v>
      </c>
      <c r="S180" s="221">
        <v>0</v>
      </c>
      <c r="T180" s="233" t="s">
        <v>218</v>
      </c>
      <c r="U180" s="230" t="s">
        <v>218</v>
      </c>
      <c r="V180" s="191">
        <v>1</v>
      </c>
      <c r="W180" s="191">
        <v>1</v>
      </c>
      <c r="X180" s="233" t="s">
        <v>218</v>
      </c>
      <c r="Y180" s="230" t="s">
        <v>218</v>
      </c>
      <c r="Z180" s="191">
        <v>0</v>
      </c>
      <c r="AA180" s="191" t="s">
        <v>134</v>
      </c>
      <c r="AB180" s="221" t="s">
        <v>130</v>
      </c>
      <c r="AC180" s="241"/>
      <c r="AD180" s="250"/>
      <c r="AE180" s="377" t="s">
        <v>182</v>
      </c>
      <c r="AG180" s="183" t="str">
        <f t="shared" si="5"/>
        <v xml:space="preserve">[1,x,x,1,0,1,0,0,0,1]-&gt;[0,1,0,x,x,1,1,x,x,0];   </v>
      </c>
    </row>
    <row r="181" spans="1:33" x14ac:dyDescent="0.25">
      <c r="A181" s="248"/>
      <c r="B181" s="191"/>
      <c r="C181" s="220" t="s">
        <v>135</v>
      </c>
      <c r="D181" s="283">
        <v>1</v>
      </c>
      <c r="E181" s="233" t="s">
        <v>218</v>
      </c>
      <c r="F181" s="214" t="s">
        <v>218</v>
      </c>
      <c r="G181" s="283">
        <v>1</v>
      </c>
      <c r="H181" s="304">
        <v>0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0</v>
      </c>
      <c r="R181" s="191">
        <v>1</v>
      </c>
      <c r="S181" s="221">
        <v>0</v>
      </c>
      <c r="T181" s="233" t="s">
        <v>218</v>
      </c>
      <c r="U181" s="230" t="s">
        <v>218</v>
      </c>
      <c r="V181" s="191">
        <v>1</v>
      </c>
      <c r="W181" s="191">
        <v>1</v>
      </c>
      <c r="X181" s="233" t="s">
        <v>218</v>
      </c>
      <c r="Y181" s="230" t="s">
        <v>218</v>
      </c>
      <c r="Z181" s="191">
        <v>0</v>
      </c>
      <c r="AA181" s="191" t="s">
        <v>134</v>
      </c>
      <c r="AB181" s="221" t="s">
        <v>130</v>
      </c>
      <c r="AC181" s="241"/>
      <c r="AD181" s="250"/>
      <c r="AE181" s="377" t="s">
        <v>181</v>
      </c>
      <c r="AG181" s="183" t="str">
        <f t="shared" si="5"/>
        <v xml:space="preserve">[1,x,x,1,0,1,0,0,1,0]-&gt;[0,1,0,x,x,1,1,x,x,0];   </v>
      </c>
    </row>
    <row r="182" spans="1:33" ht="15.75" thickBot="1" x14ac:dyDescent="0.3">
      <c r="A182" s="248"/>
      <c r="B182" s="191"/>
      <c r="C182" s="220" t="s">
        <v>135</v>
      </c>
      <c r="D182" s="283">
        <v>1</v>
      </c>
      <c r="E182" s="233" t="s">
        <v>218</v>
      </c>
      <c r="F182" s="214" t="s">
        <v>218</v>
      </c>
      <c r="G182" s="283">
        <v>1</v>
      </c>
      <c r="H182" s="305">
        <v>0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0</v>
      </c>
      <c r="R182" s="191">
        <v>1</v>
      </c>
      <c r="S182" s="221">
        <v>0</v>
      </c>
      <c r="T182" s="233" t="s">
        <v>218</v>
      </c>
      <c r="U182" s="230" t="s">
        <v>218</v>
      </c>
      <c r="V182" s="191">
        <v>1</v>
      </c>
      <c r="W182" s="191">
        <v>1</v>
      </c>
      <c r="X182" s="233" t="s">
        <v>218</v>
      </c>
      <c r="Y182" s="230" t="s">
        <v>218</v>
      </c>
      <c r="Z182" s="191">
        <v>0</v>
      </c>
      <c r="AA182" s="191" t="s">
        <v>134</v>
      </c>
      <c r="AB182" s="221" t="s">
        <v>130</v>
      </c>
      <c r="AC182" s="241"/>
      <c r="AD182" s="250"/>
      <c r="AE182" s="377" t="s">
        <v>180</v>
      </c>
      <c r="AG182" s="183" t="str">
        <f t="shared" si="5"/>
        <v xml:space="preserve">[1,x,x,1,0,1,0,0,1,1]-&gt;[0,1,0,x,x,1,1,x,x,0];   </v>
      </c>
    </row>
    <row r="183" spans="1:33" x14ac:dyDescent="0.25">
      <c r="A183" s="248"/>
      <c r="B183" s="191"/>
      <c r="C183" s="220" t="s">
        <v>135</v>
      </c>
      <c r="D183" s="283">
        <v>1</v>
      </c>
      <c r="E183" s="233" t="s">
        <v>218</v>
      </c>
      <c r="F183" s="214" t="s">
        <v>218</v>
      </c>
      <c r="G183" s="283">
        <v>1</v>
      </c>
      <c r="H183" s="303">
        <v>0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0</v>
      </c>
      <c r="R183" s="191">
        <v>1</v>
      </c>
      <c r="S183" s="221">
        <v>0</v>
      </c>
      <c r="T183" s="233" t="s">
        <v>218</v>
      </c>
      <c r="U183" s="230" t="s">
        <v>218</v>
      </c>
      <c r="V183" s="191">
        <v>1</v>
      </c>
      <c r="W183" s="191">
        <v>1</v>
      </c>
      <c r="X183" s="233" t="s">
        <v>218</v>
      </c>
      <c r="Y183" s="230" t="s">
        <v>218</v>
      </c>
      <c r="Z183" s="191">
        <v>0</v>
      </c>
      <c r="AA183" s="191" t="s">
        <v>134</v>
      </c>
      <c r="AB183" s="221" t="s">
        <v>130</v>
      </c>
      <c r="AC183" s="241"/>
      <c r="AD183" s="250"/>
      <c r="AE183" s="377" t="s">
        <v>178</v>
      </c>
      <c r="AG183" s="183" t="str">
        <f t="shared" si="5"/>
        <v xml:space="preserve">[1,x,x,1,0,1,0,1,0,0]-&gt;[0,1,0,x,x,1,1,x,x,0];   </v>
      </c>
    </row>
    <row r="184" spans="1:33" x14ac:dyDescent="0.25">
      <c r="A184" s="248"/>
      <c r="B184" s="191"/>
      <c r="C184" s="220" t="s">
        <v>135</v>
      </c>
      <c r="D184" s="283">
        <v>1</v>
      </c>
      <c r="E184" s="233" t="s">
        <v>218</v>
      </c>
      <c r="F184" s="214" t="s">
        <v>218</v>
      </c>
      <c r="G184" s="283">
        <v>1</v>
      </c>
      <c r="H184" s="304">
        <v>0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0</v>
      </c>
      <c r="R184" s="191">
        <v>1</v>
      </c>
      <c r="S184" s="221">
        <v>0</v>
      </c>
      <c r="T184" s="233" t="s">
        <v>218</v>
      </c>
      <c r="U184" s="230" t="s">
        <v>218</v>
      </c>
      <c r="V184" s="191">
        <v>1</v>
      </c>
      <c r="W184" s="191">
        <v>1</v>
      </c>
      <c r="X184" s="233" t="s">
        <v>218</v>
      </c>
      <c r="Y184" s="230" t="s">
        <v>218</v>
      </c>
      <c r="Z184" s="191">
        <v>0</v>
      </c>
      <c r="AA184" s="191" t="s">
        <v>134</v>
      </c>
      <c r="AB184" s="221" t="s">
        <v>130</v>
      </c>
      <c r="AC184" s="241"/>
      <c r="AD184" s="250"/>
      <c r="AE184" s="377" t="s">
        <v>177</v>
      </c>
      <c r="AG184" s="183" t="str">
        <f t="shared" si="5"/>
        <v xml:space="preserve">[1,x,x,1,0,1,0,1,0,1]-&gt;[0,1,0,x,x,1,1,x,x,0];   </v>
      </c>
    </row>
    <row r="185" spans="1:33" x14ac:dyDescent="0.25">
      <c r="A185" s="248"/>
      <c r="B185" s="191"/>
      <c r="C185" s="220" t="s">
        <v>135</v>
      </c>
      <c r="D185" s="283">
        <v>1</v>
      </c>
      <c r="E185" s="233" t="s">
        <v>218</v>
      </c>
      <c r="F185" s="214" t="s">
        <v>218</v>
      </c>
      <c r="G185" s="283">
        <v>1</v>
      </c>
      <c r="H185" s="304">
        <v>0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0</v>
      </c>
      <c r="R185" s="191">
        <v>1</v>
      </c>
      <c r="S185" s="221">
        <v>0</v>
      </c>
      <c r="T185" s="233" t="s">
        <v>218</v>
      </c>
      <c r="U185" s="230" t="s">
        <v>218</v>
      </c>
      <c r="V185" s="191">
        <v>1</v>
      </c>
      <c r="W185" s="191">
        <v>1</v>
      </c>
      <c r="X185" s="233" t="s">
        <v>218</v>
      </c>
      <c r="Y185" s="230" t="s">
        <v>218</v>
      </c>
      <c r="Z185" s="191">
        <v>0</v>
      </c>
      <c r="AA185" s="191" t="s">
        <v>134</v>
      </c>
      <c r="AB185" s="221" t="s">
        <v>130</v>
      </c>
      <c r="AC185" s="241"/>
      <c r="AD185" s="250"/>
      <c r="AE185" s="377" t="s">
        <v>176</v>
      </c>
      <c r="AG185" s="183" t="str">
        <f t="shared" si="5"/>
        <v xml:space="preserve">[1,x,x,1,0,1,0,1,1,0]-&gt;[0,1,0,x,x,1,1,x,x,0];   </v>
      </c>
    </row>
    <row r="186" spans="1:33" ht="15.75" thickBot="1" x14ac:dyDescent="0.3">
      <c r="A186" s="248"/>
      <c r="B186" s="191"/>
      <c r="C186" s="220" t="s">
        <v>135</v>
      </c>
      <c r="D186" s="283">
        <v>1</v>
      </c>
      <c r="E186" s="233" t="s">
        <v>218</v>
      </c>
      <c r="F186" s="214" t="s">
        <v>218</v>
      </c>
      <c r="G186" s="284">
        <v>1</v>
      </c>
      <c r="H186" s="305">
        <v>0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0</v>
      </c>
      <c r="R186" s="191">
        <v>1</v>
      </c>
      <c r="S186" s="221">
        <v>0</v>
      </c>
      <c r="T186" s="233" t="s">
        <v>218</v>
      </c>
      <c r="U186" s="230" t="s">
        <v>218</v>
      </c>
      <c r="V186" s="191">
        <v>1</v>
      </c>
      <c r="W186" s="191">
        <v>1</v>
      </c>
      <c r="X186" s="233" t="s">
        <v>218</v>
      </c>
      <c r="Y186" s="230" t="s">
        <v>218</v>
      </c>
      <c r="Z186" s="191">
        <v>0</v>
      </c>
      <c r="AA186" s="191" t="s">
        <v>134</v>
      </c>
      <c r="AB186" s="221" t="s">
        <v>130</v>
      </c>
      <c r="AC186" s="241"/>
      <c r="AD186" s="251"/>
      <c r="AE186" s="377" t="s">
        <v>175</v>
      </c>
      <c r="AG186" s="183" t="str">
        <f t="shared" si="5"/>
        <v xml:space="preserve">[1,x,x,1,0,1,0,1,1,1]-&gt;[0,1,0,x,x,1,1,x,x,0];   </v>
      </c>
    </row>
    <row r="187" spans="1:33" x14ac:dyDescent="0.25">
      <c r="A187" s="248"/>
      <c r="B187" s="191"/>
      <c r="C187" s="220" t="s">
        <v>135</v>
      </c>
      <c r="D187" s="283">
        <v>1</v>
      </c>
      <c r="E187" s="303">
        <v>1</v>
      </c>
      <c r="F187" s="214" t="s">
        <v>218</v>
      </c>
      <c r="G187" s="282">
        <v>1</v>
      </c>
      <c r="H187" s="303">
        <v>0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35">
        <v>0</v>
      </c>
      <c r="R187" s="226">
        <v>1</v>
      </c>
      <c r="S187" s="236">
        <v>0</v>
      </c>
      <c r="T187" s="235">
        <v>0</v>
      </c>
      <c r="U187" s="236">
        <v>0</v>
      </c>
      <c r="V187" s="303">
        <v>0</v>
      </c>
      <c r="W187" s="191">
        <v>1</v>
      </c>
      <c r="X187" s="235">
        <v>0</v>
      </c>
      <c r="Y187" s="236">
        <v>0</v>
      </c>
      <c r="Z187" s="191">
        <v>0</v>
      </c>
      <c r="AA187" s="191" t="s">
        <v>134</v>
      </c>
      <c r="AB187" s="221" t="s">
        <v>130</v>
      </c>
      <c r="AC187" s="241" t="s">
        <v>216</v>
      </c>
      <c r="AD187" s="299" t="s">
        <v>270</v>
      </c>
      <c r="AE187" s="377" t="s">
        <v>172</v>
      </c>
      <c r="AG187" s="183" t="str">
        <f t="shared" si="5"/>
        <v>[1,1,x,1,0,1,1,0,0,0]-&gt;[0,1,0,0,0,0,1,0,0,0];   "Low-Rom auf ProfDos</v>
      </c>
    </row>
    <row r="188" spans="1:33" x14ac:dyDescent="0.25">
      <c r="A188" s="248"/>
      <c r="B188" s="191"/>
      <c r="C188" s="220" t="s">
        <v>135</v>
      </c>
      <c r="D188" s="283">
        <v>1</v>
      </c>
      <c r="E188" s="304">
        <v>1</v>
      </c>
      <c r="F188" s="214" t="s">
        <v>218</v>
      </c>
      <c r="G188" s="283">
        <v>1</v>
      </c>
      <c r="H188" s="304">
        <v>0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37">
        <v>0</v>
      </c>
      <c r="R188" s="213">
        <v>1</v>
      </c>
      <c r="S188" s="238">
        <v>0</v>
      </c>
      <c r="T188" s="237">
        <v>0</v>
      </c>
      <c r="U188" s="238">
        <v>0</v>
      </c>
      <c r="V188" s="304">
        <v>0</v>
      </c>
      <c r="W188" s="191">
        <v>1</v>
      </c>
      <c r="X188" s="237">
        <v>0</v>
      </c>
      <c r="Y188" s="238">
        <v>0</v>
      </c>
      <c r="Z188" s="191">
        <v>0</v>
      </c>
      <c r="AA188" s="191" t="s">
        <v>134</v>
      </c>
      <c r="AB188" s="221" t="s">
        <v>130</v>
      </c>
      <c r="AD188" s="300"/>
      <c r="AE188" s="377" t="s">
        <v>171</v>
      </c>
      <c r="AG188" s="183" t="str">
        <f t="shared" si="5"/>
        <v xml:space="preserve">[1,1,x,1,0,1,1,0,0,1]-&gt;[0,1,0,0,0,0,1,0,0,0];   </v>
      </c>
    </row>
    <row r="189" spans="1:33" ht="15.75" customHeight="1" x14ac:dyDescent="0.25">
      <c r="A189" s="248"/>
      <c r="B189" s="191"/>
      <c r="C189" s="220" t="s">
        <v>135</v>
      </c>
      <c r="D189" s="283">
        <v>1</v>
      </c>
      <c r="E189" s="304">
        <v>1</v>
      </c>
      <c r="F189" s="214" t="s">
        <v>218</v>
      </c>
      <c r="G189" s="283">
        <v>1</v>
      </c>
      <c r="H189" s="304">
        <v>0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37">
        <v>0</v>
      </c>
      <c r="R189" s="213">
        <v>1</v>
      </c>
      <c r="S189" s="238">
        <v>0</v>
      </c>
      <c r="T189" s="237">
        <v>0</v>
      </c>
      <c r="U189" s="238">
        <v>0</v>
      </c>
      <c r="V189" s="304">
        <v>0</v>
      </c>
      <c r="W189" s="191">
        <v>1</v>
      </c>
      <c r="X189" s="237">
        <v>0</v>
      </c>
      <c r="Y189" s="238">
        <v>0</v>
      </c>
      <c r="Z189" s="191">
        <v>0</v>
      </c>
      <c r="AA189" s="191" t="s">
        <v>134</v>
      </c>
      <c r="AB189" s="221" t="s">
        <v>130</v>
      </c>
      <c r="AC189" s="241"/>
      <c r="AD189" s="300"/>
      <c r="AE189" s="377" t="s">
        <v>170</v>
      </c>
      <c r="AG189" s="183" t="str">
        <f t="shared" si="5"/>
        <v xml:space="preserve">[1,1,x,1,0,1,1,0,1,0]-&gt;[0,1,0,0,0,0,1,0,0,0];   </v>
      </c>
    </row>
    <row r="190" spans="1:33" ht="15.75" thickBot="1" x14ac:dyDescent="0.3">
      <c r="A190" s="248"/>
      <c r="B190" s="191"/>
      <c r="C190" s="220" t="s">
        <v>135</v>
      </c>
      <c r="D190" s="283">
        <v>1</v>
      </c>
      <c r="E190" s="305">
        <v>1</v>
      </c>
      <c r="F190" s="214" t="s">
        <v>218</v>
      </c>
      <c r="G190" s="284">
        <v>1</v>
      </c>
      <c r="H190" s="305">
        <v>0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39">
        <v>0</v>
      </c>
      <c r="R190" s="227">
        <v>1</v>
      </c>
      <c r="S190" s="240">
        <v>0</v>
      </c>
      <c r="T190" s="239">
        <v>0</v>
      </c>
      <c r="U190" s="240">
        <v>0</v>
      </c>
      <c r="V190" s="305">
        <v>0</v>
      </c>
      <c r="W190" s="191">
        <v>1</v>
      </c>
      <c r="X190" s="239">
        <v>0</v>
      </c>
      <c r="Y190" s="240">
        <v>0</v>
      </c>
      <c r="Z190" s="191">
        <v>0</v>
      </c>
      <c r="AA190" s="191" t="s">
        <v>134</v>
      </c>
      <c r="AB190" s="221" t="s">
        <v>130</v>
      </c>
      <c r="AC190" s="241"/>
      <c r="AD190" s="301"/>
      <c r="AE190" s="377" t="s">
        <v>169</v>
      </c>
      <c r="AG190" s="183" t="str">
        <f t="shared" si="5"/>
        <v xml:space="preserve">[1,1,x,1,0,1,1,0,1,1]-&gt;[0,1,0,0,0,0,1,0,0,0];   </v>
      </c>
    </row>
    <row r="191" spans="1:33" x14ac:dyDescent="0.25">
      <c r="A191" s="248"/>
      <c r="B191" s="191"/>
      <c r="C191" s="220" t="s">
        <v>135</v>
      </c>
      <c r="D191" s="283">
        <v>1</v>
      </c>
      <c r="E191" s="233" t="s">
        <v>218</v>
      </c>
      <c r="F191" s="214" t="s">
        <v>218</v>
      </c>
      <c r="G191" s="282">
        <v>1</v>
      </c>
      <c r="H191" s="303">
        <v>0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37">
        <v>0</v>
      </c>
      <c r="R191" s="213">
        <v>1</v>
      </c>
      <c r="S191" s="238">
        <v>0</v>
      </c>
      <c r="T191" s="237">
        <v>0</v>
      </c>
      <c r="U191" s="238">
        <v>1</v>
      </c>
      <c r="V191" s="304">
        <v>0</v>
      </c>
      <c r="W191" s="191">
        <v>1</v>
      </c>
      <c r="X191" s="237">
        <v>0</v>
      </c>
      <c r="Y191" s="238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302" t="s">
        <v>272</v>
      </c>
      <c r="AE191" s="377" t="s">
        <v>168</v>
      </c>
      <c r="AG191" s="183" t="str">
        <f t="shared" si="5"/>
        <v>[1,x,x,1,0,1,1,1,0,0]-&gt;[0,1,0,0,1,0,1,0,0,0];   "High-Rom auf ProfDos (Speeddos)</v>
      </c>
    </row>
    <row r="192" spans="1:33" x14ac:dyDescent="0.25">
      <c r="A192" s="248"/>
      <c r="B192" s="191"/>
      <c r="C192" s="220" t="s">
        <v>135</v>
      </c>
      <c r="D192" s="283">
        <v>1</v>
      </c>
      <c r="E192" s="233" t="s">
        <v>218</v>
      </c>
      <c r="F192" s="214" t="s">
        <v>218</v>
      </c>
      <c r="G192" s="283">
        <v>1</v>
      </c>
      <c r="H192" s="304">
        <v>0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37">
        <v>0</v>
      </c>
      <c r="R192" s="213">
        <v>1</v>
      </c>
      <c r="S192" s="238">
        <v>0</v>
      </c>
      <c r="T192" s="237">
        <v>0</v>
      </c>
      <c r="U192" s="238">
        <v>1</v>
      </c>
      <c r="V192" s="304">
        <v>0</v>
      </c>
      <c r="W192" s="191">
        <v>1</v>
      </c>
      <c r="X192" s="237">
        <v>0</v>
      </c>
      <c r="Y192" s="238">
        <v>0</v>
      </c>
      <c r="Z192" s="191">
        <v>0</v>
      </c>
      <c r="AA192" s="191" t="s">
        <v>134</v>
      </c>
      <c r="AB192" s="221" t="s">
        <v>130</v>
      </c>
      <c r="AD192" s="300"/>
      <c r="AE192" s="377" t="s">
        <v>167</v>
      </c>
      <c r="AG192" s="183" t="str">
        <f t="shared" si="5"/>
        <v xml:space="preserve">[1,x,x,1,0,1,1,1,0,1]-&gt;[0,1,0,0,1,0,1,0,0,0];   </v>
      </c>
    </row>
    <row r="193" spans="1:33" x14ac:dyDescent="0.25">
      <c r="A193" s="248"/>
      <c r="B193" s="191"/>
      <c r="C193" s="220" t="s">
        <v>135</v>
      </c>
      <c r="D193" s="283">
        <v>1</v>
      </c>
      <c r="E193" s="233" t="s">
        <v>218</v>
      </c>
      <c r="F193" s="214" t="s">
        <v>218</v>
      </c>
      <c r="G193" s="283">
        <v>1</v>
      </c>
      <c r="H193" s="304">
        <v>0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37">
        <v>0</v>
      </c>
      <c r="R193" s="213">
        <v>1</v>
      </c>
      <c r="S193" s="238">
        <v>0</v>
      </c>
      <c r="T193" s="237">
        <v>0</v>
      </c>
      <c r="U193" s="238">
        <v>1</v>
      </c>
      <c r="V193" s="304">
        <v>0</v>
      </c>
      <c r="W193" s="191">
        <v>1</v>
      </c>
      <c r="X193" s="237">
        <v>0</v>
      </c>
      <c r="Y193" s="238">
        <v>0</v>
      </c>
      <c r="Z193" s="191">
        <v>0</v>
      </c>
      <c r="AA193" s="191" t="s">
        <v>134</v>
      </c>
      <c r="AB193" s="221" t="s">
        <v>130</v>
      </c>
      <c r="AC193" s="241"/>
      <c r="AD193" s="300"/>
      <c r="AE193" s="377" t="s">
        <v>166</v>
      </c>
      <c r="AG193" s="183" t="str">
        <f t="shared" si="5"/>
        <v xml:space="preserve">[1,x,x,1,0,1,1,1,1,0]-&gt;[0,1,0,0,1,0,1,0,0,0];   </v>
      </c>
    </row>
    <row r="194" spans="1:33" ht="15.75" thickBot="1" x14ac:dyDescent="0.3">
      <c r="A194" s="248"/>
      <c r="B194" s="191"/>
      <c r="C194" s="220" t="s">
        <v>135</v>
      </c>
      <c r="D194" s="283">
        <v>1</v>
      </c>
      <c r="E194" s="233" t="s">
        <v>218</v>
      </c>
      <c r="F194" s="214" t="s">
        <v>218</v>
      </c>
      <c r="G194" s="283">
        <v>1</v>
      </c>
      <c r="H194" s="305">
        <v>0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37">
        <v>0</v>
      </c>
      <c r="R194" s="213">
        <v>1</v>
      </c>
      <c r="S194" s="238">
        <v>0</v>
      </c>
      <c r="T194" s="237">
        <v>0</v>
      </c>
      <c r="U194" s="238">
        <v>1</v>
      </c>
      <c r="V194" s="304">
        <v>0</v>
      </c>
      <c r="W194" s="191">
        <v>1</v>
      </c>
      <c r="X194" s="237">
        <v>0</v>
      </c>
      <c r="Y194" s="238">
        <v>0</v>
      </c>
      <c r="Z194" s="191">
        <v>0</v>
      </c>
      <c r="AA194" s="191" t="s">
        <v>134</v>
      </c>
      <c r="AB194" s="221" t="s">
        <v>130</v>
      </c>
      <c r="AC194" s="241"/>
      <c r="AD194" s="301"/>
      <c r="AE194" s="378" t="s">
        <v>165</v>
      </c>
      <c r="AG194" s="183" t="str">
        <f t="shared" si="5"/>
        <v xml:space="preserve">[1,x,x,1,0,1,1,1,1,1]-&gt;[0,1,0,0,1,0,1,0,0,0];   </v>
      </c>
    </row>
    <row r="195" spans="1:33" ht="15.75" thickBot="1" x14ac:dyDescent="0.3">
      <c r="A195" s="248"/>
      <c r="B195" s="191"/>
      <c r="C195" s="216" t="s">
        <v>135</v>
      </c>
      <c r="D195" s="273">
        <v>0</v>
      </c>
      <c r="E195" s="228" t="s">
        <v>218</v>
      </c>
      <c r="F195" s="228" t="s">
        <v>218</v>
      </c>
      <c r="G195" s="228" t="s">
        <v>218</v>
      </c>
      <c r="H195" s="267" t="s">
        <v>218</v>
      </c>
      <c r="I195" s="217">
        <v>0</v>
      </c>
      <c r="J195" s="217">
        <v>0</v>
      </c>
      <c r="K195" s="217">
        <v>0</v>
      </c>
      <c r="L195" s="217">
        <v>0</v>
      </c>
      <c r="M195" s="217">
        <v>0</v>
      </c>
      <c r="N195" s="217" t="s">
        <v>134</v>
      </c>
      <c r="O195" s="218" t="s">
        <v>212</v>
      </c>
      <c r="P195" s="217" t="s">
        <v>135</v>
      </c>
      <c r="Q195" s="217">
        <v>0</v>
      </c>
      <c r="R195" s="217">
        <v>0</v>
      </c>
      <c r="S195" s="217">
        <v>0</v>
      </c>
      <c r="T195" s="232" t="s">
        <v>218</v>
      </c>
      <c r="U195" s="267" t="s">
        <v>218</v>
      </c>
      <c r="V195" s="217">
        <v>1</v>
      </c>
      <c r="W195" s="217">
        <v>1</v>
      </c>
      <c r="X195" s="232" t="s">
        <v>218</v>
      </c>
      <c r="Y195" s="267" t="s">
        <v>218</v>
      </c>
      <c r="Z195" s="217">
        <v>0</v>
      </c>
      <c r="AA195" s="217" t="s">
        <v>134</v>
      </c>
      <c r="AB195" s="219" t="s">
        <v>130</v>
      </c>
      <c r="AC195" s="242" t="s">
        <v>216</v>
      </c>
      <c r="AD195" s="358" t="s">
        <v>337</v>
      </c>
      <c r="AE195" s="373" t="s">
        <v>208</v>
      </c>
      <c r="AG195" s="183" t="str">
        <f t="shared" ref="AG195:AG226" si="6">C195&amp;D195&amp;","&amp;E195&amp;","&amp;F195&amp;","&amp;G195&amp;","&amp;H195&amp;","&amp;I195&amp;","&amp;J195&amp;","&amp;K195&amp;","&amp;L195&amp;","&amp;M195&amp;N195&amp;O195&amp;P195&amp;Q195&amp;","&amp;R195&amp;","&amp;S195&amp;","&amp;T195&amp;","&amp;U195&amp;","&amp;V195&amp;","&amp;W195&amp;","&amp;X195&amp;","&amp;Y195&amp;","&amp;Z195&amp;AA195&amp;AB195&amp;"   "&amp;AC195&amp;AD195</f>
        <v>[0,x,x,x,x,0,0,0,0,0]-&gt;[0,0,0,x,x,1,1,x,x,0];   "Ram OnBoard (DolphinDOS braucht untere 2k vom Ram selbst)</v>
      </c>
    </row>
    <row r="196" spans="1:33" x14ac:dyDescent="0.25">
      <c r="A196" s="248"/>
      <c r="C196" s="220" t="s">
        <v>135</v>
      </c>
      <c r="D196" s="233" t="s">
        <v>218</v>
      </c>
      <c r="E196" s="214" t="s">
        <v>218</v>
      </c>
      <c r="F196" s="214" t="s">
        <v>218</v>
      </c>
      <c r="G196" s="214" t="s">
        <v>218</v>
      </c>
      <c r="H196" s="230" t="s">
        <v>218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3" t="s">
        <v>218</v>
      </c>
      <c r="U196" s="230" t="s">
        <v>218</v>
      </c>
      <c r="V196" s="191">
        <v>1</v>
      </c>
      <c r="W196" s="191">
        <v>1</v>
      </c>
      <c r="X196" s="233" t="s">
        <v>218</v>
      </c>
      <c r="Y196" s="230" t="s">
        <v>218</v>
      </c>
      <c r="Z196" s="191">
        <v>0</v>
      </c>
      <c r="AA196" s="191" t="s">
        <v>134</v>
      </c>
      <c r="AB196" s="221" t="s">
        <v>130</v>
      </c>
      <c r="AC196" s="242" t="s">
        <v>216</v>
      </c>
      <c r="AD196" s="362" t="s">
        <v>332</v>
      </c>
      <c r="AE196" s="374" t="s">
        <v>207</v>
      </c>
      <c r="AG196" s="183" t="str">
        <f>C196&amp;D196&amp;","&amp;E196&amp;","&amp;F196&amp;","&amp;G196&amp;","&amp;H196&amp;","&amp;I196&amp;","&amp;J196&amp;","&amp;K196&amp;","&amp;L196&amp;","&amp;M196&amp;N196&amp;O196&amp;P196&amp;Q196&amp;","&amp;R196&amp;","&amp;S196&amp;","&amp;T196&amp;","&amp;U196&amp;","&amp;V196&amp;","&amp;W196&amp;","&amp;X196&amp;","&amp;Y196&amp;","&amp;Z196&amp;AA196&amp;AB196&amp;"   "&amp;AC196&amp;AD196</f>
        <v>[x,x,x,x,x,0,0,0,0,1]-&gt;[0,0,1,x,x,1,1,x,x,0];   "Codierung 1:1</v>
      </c>
    </row>
    <row r="197" spans="1:33" x14ac:dyDescent="0.25">
      <c r="A197" s="248"/>
      <c r="C197" s="220" t="s">
        <v>135</v>
      </c>
      <c r="D197" s="233" t="s">
        <v>218</v>
      </c>
      <c r="E197" s="214" t="s">
        <v>218</v>
      </c>
      <c r="F197" s="214" t="s">
        <v>218</v>
      </c>
      <c r="G197" s="214" t="s">
        <v>218</v>
      </c>
      <c r="H197" s="230" t="s">
        <v>218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3" t="s">
        <v>218</v>
      </c>
      <c r="U197" s="230" t="s">
        <v>218</v>
      </c>
      <c r="V197" s="191">
        <v>1</v>
      </c>
      <c r="W197" s="191">
        <v>1</v>
      </c>
      <c r="X197" s="233" t="s">
        <v>218</v>
      </c>
      <c r="Y197" s="230" t="s">
        <v>218</v>
      </c>
      <c r="Z197" s="191">
        <v>0</v>
      </c>
      <c r="AA197" s="191" t="s">
        <v>134</v>
      </c>
      <c r="AB197" s="221" t="s">
        <v>130</v>
      </c>
      <c r="AD197" s="384"/>
      <c r="AE197" s="374" t="s">
        <v>206</v>
      </c>
      <c r="AG197" s="183" t="str">
        <f>C197&amp;D197&amp;","&amp;E197&amp;","&amp;F197&amp;","&amp;G197&amp;","&amp;H197&amp;","&amp;I197&amp;","&amp;J197&amp;","&amp;K197&amp;","&amp;L197&amp;","&amp;M197&amp;N197&amp;O197&amp;P197&amp;Q197&amp;","&amp;R197&amp;","&amp;S197&amp;","&amp;T197&amp;","&amp;U197&amp;","&amp;V197&amp;","&amp;W197&amp;","&amp;X197&amp;","&amp;Y197&amp;","&amp;Z197&amp;AA197&amp;AB197&amp;"   "&amp;AC197&amp;AD197</f>
        <v xml:space="preserve">[x,x,x,x,x,0,0,0,1,0]-&gt;[0,1,0,x,x,1,1,x,x,0];   </v>
      </c>
    </row>
    <row r="198" spans="1:33" x14ac:dyDescent="0.25">
      <c r="A198" s="248"/>
      <c r="C198" s="220" t="s">
        <v>135</v>
      </c>
      <c r="D198" s="233" t="s">
        <v>218</v>
      </c>
      <c r="E198" s="214" t="s">
        <v>218</v>
      </c>
      <c r="F198" s="214" t="s">
        <v>218</v>
      </c>
      <c r="G198" s="214" t="s">
        <v>218</v>
      </c>
      <c r="H198" s="230" t="s">
        <v>218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3" t="s">
        <v>218</v>
      </c>
      <c r="U198" s="230" t="s">
        <v>218</v>
      </c>
      <c r="V198" s="191">
        <v>1</v>
      </c>
      <c r="W198" s="191">
        <v>1</v>
      </c>
      <c r="X198" s="233" t="s">
        <v>218</v>
      </c>
      <c r="Y198" s="230" t="s">
        <v>218</v>
      </c>
      <c r="Z198" s="191">
        <v>0</v>
      </c>
      <c r="AA198" s="191" t="s">
        <v>134</v>
      </c>
      <c r="AB198" s="221" t="s">
        <v>130</v>
      </c>
      <c r="AD198" s="359"/>
      <c r="AE198" s="374" t="s">
        <v>205</v>
      </c>
      <c r="AG198" s="183" t="str">
        <f t="shared" si="6"/>
        <v xml:space="preserve">[x,x,x,x,x,0,0,0,1,1]-&gt;[0,1,1,x,x,1,1,x,x,0];   </v>
      </c>
    </row>
    <row r="199" spans="1:33" x14ac:dyDescent="0.25">
      <c r="A199" s="248"/>
      <c r="C199" s="220" t="s">
        <v>135</v>
      </c>
      <c r="D199" s="233" t="s">
        <v>218</v>
      </c>
      <c r="E199" s="214" t="s">
        <v>218</v>
      </c>
      <c r="F199" s="214" t="s">
        <v>218</v>
      </c>
      <c r="G199" s="214" t="s">
        <v>218</v>
      </c>
      <c r="H199" s="230" t="s">
        <v>218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3" t="s">
        <v>218</v>
      </c>
      <c r="U199" s="230" t="s">
        <v>218</v>
      </c>
      <c r="V199" s="191">
        <v>1</v>
      </c>
      <c r="W199" s="191">
        <v>1</v>
      </c>
      <c r="X199" s="233" t="s">
        <v>218</v>
      </c>
      <c r="Y199" s="230" t="s">
        <v>218</v>
      </c>
      <c r="Z199" s="191">
        <v>0</v>
      </c>
      <c r="AA199" s="191" t="s">
        <v>134</v>
      </c>
      <c r="AB199" s="221" t="s">
        <v>130</v>
      </c>
      <c r="AD199" s="359"/>
      <c r="AE199" s="374" t="s">
        <v>201</v>
      </c>
      <c r="AG199" s="183" t="str">
        <f t="shared" si="6"/>
        <v xml:space="preserve">[x,x,x,x,x,0,0,1,0,0]-&gt;[0,0,0,x,x,1,1,x,x,0];   </v>
      </c>
    </row>
    <row r="200" spans="1:33" x14ac:dyDescent="0.25">
      <c r="A200" s="248"/>
      <c r="C200" s="220" t="s">
        <v>135</v>
      </c>
      <c r="D200" s="233" t="s">
        <v>218</v>
      </c>
      <c r="E200" s="214" t="s">
        <v>218</v>
      </c>
      <c r="F200" s="214" t="s">
        <v>218</v>
      </c>
      <c r="G200" s="214" t="s">
        <v>218</v>
      </c>
      <c r="H200" s="230" t="s">
        <v>218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3" t="s">
        <v>218</v>
      </c>
      <c r="U200" s="230" t="s">
        <v>218</v>
      </c>
      <c r="V200" s="191">
        <v>1</v>
      </c>
      <c r="W200" s="191">
        <v>1</v>
      </c>
      <c r="X200" s="233" t="s">
        <v>218</v>
      </c>
      <c r="Y200" s="230" t="s">
        <v>218</v>
      </c>
      <c r="Z200" s="191">
        <v>0</v>
      </c>
      <c r="AA200" s="191" t="s">
        <v>134</v>
      </c>
      <c r="AB200" s="221" t="s">
        <v>130</v>
      </c>
      <c r="AD200" s="359"/>
      <c r="AE200" s="374" t="s">
        <v>200</v>
      </c>
      <c r="AG200" s="183" t="str">
        <f t="shared" si="6"/>
        <v xml:space="preserve">[x,x,x,x,x,0,0,1,0,1]-&gt;[0,0,1,x,x,1,1,x,x,0];   </v>
      </c>
    </row>
    <row r="201" spans="1:33" x14ac:dyDescent="0.25">
      <c r="A201" s="248"/>
      <c r="C201" s="220" t="s">
        <v>135</v>
      </c>
      <c r="D201" s="233" t="s">
        <v>218</v>
      </c>
      <c r="E201" s="214" t="s">
        <v>218</v>
      </c>
      <c r="F201" s="214" t="s">
        <v>218</v>
      </c>
      <c r="G201" s="214" t="s">
        <v>218</v>
      </c>
      <c r="H201" s="230" t="s">
        <v>218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3" t="s">
        <v>218</v>
      </c>
      <c r="U201" s="230" t="s">
        <v>218</v>
      </c>
      <c r="V201" s="191">
        <v>1</v>
      </c>
      <c r="W201" s="191">
        <v>1</v>
      </c>
      <c r="X201" s="233" t="s">
        <v>218</v>
      </c>
      <c r="Y201" s="230" t="s">
        <v>218</v>
      </c>
      <c r="Z201" s="191">
        <v>0</v>
      </c>
      <c r="AA201" s="191" t="s">
        <v>134</v>
      </c>
      <c r="AB201" s="221" t="s">
        <v>130</v>
      </c>
      <c r="AD201" s="359"/>
      <c r="AE201" s="374" t="s">
        <v>199</v>
      </c>
      <c r="AG201" s="183" t="str">
        <f t="shared" si="6"/>
        <v xml:space="preserve">[x,x,x,x,x,0,0,1,1,0]-&gt;[0,1,0,x,x,1,1,x,x,0];   </v>
      </c>
    </row>
    <row r="202" spans="1:33" ht="15.75" thickBot="1" x14ac:dyDescent="0.3">
      <c r="A202" s="248"/>
      <c r="C202" s="220" t="s">
        <v>135</v>
      </c>
      <c r="D202" s="233" t="s">
        <v>218</v>
      </c>
      <c r="E202" s="214" t="s">
        <v>218</v>
      </c>
      <c r="F202" s="214" t="s">
        <v>218</v>
      </c>
      <c r="G202" s="214" t="s">
        <v>218</v>
      </c>
      <c r="H202" s="230" t="s">
        <v>218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3" t="s">
        <v>218</v>
      </c>
      <c r="U202" s="230" t="s">
        <v>218</v>
      </c>
      <c r="V202" s="191">
        <v>1</v>
      </c>
      <c r="W202" s="191">
        <v>1</v>
      </c>
      <c r="X202" s="233" t="s">
        <v>218</v>
      </c>
      <c r="Y202" s="230" t="s">
        <v>218</v>
      </c>
      <c r="Z202" s="191">
        <v>0</v>
      </c>
      <c r="AA202" s="191" t="s">
        <v>134</v>
      </c>
      <c r="AB202" s="221" t="s">
        <v>130</v>
      </c>
      <c r="AD202" s="359"/>
      <c r="AE202" s="374" t="s">
        <v>198</v>
      </c>
      <c r="AG202" s="183" t="str">
        <f t="shared" si="6"/>
        <v xml:space="preserve">[x,x,x,x,x,0,0,1,1,1]-&gt;[0,1,1,x,x,1,1,x,x,0];   </v>
      </c>
    </row>
    <row r="203" spans="1:33" x14ac:dyDescent="0.25">
      <c r="A203" s="248"/>
      <c r="C203" s="220" t="s">
        <v>135</v>
      </c>
      <c r="D203" s="282">
        <v>0</v>
      </c>
      <c r="E203" s="233" t="s">
        <v>218</v>
      </c>
      <c r="F203" s="214" t="s">
        <v>218</v>
      </c>
      <c r="G203" s="214" t="s">
        <v>218</v>
      </c>
      <c r="H203" s="230" t="s">
        <v>218</v>
      </c>
      <c r="I203" s="217">
        <v>0</v>
      </c>
      <c r="J203" s="217">
        <v>1</v>
      </c>
      <c r="K203" s="219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0</v>
      </c>
      <c r="S203" s="191">
        <v>0</v>
      </c>
      <c r="T203" s="233" t="s">
        <v>218</v>
      </c>
      <c r="U203" s="230" t="s">
        <v>218</v>
      </c>
      <c r="V203" s="191">
        <v>1</v>
      </c>
      <c r="W203" s="191">
        <v>1</v>
      </c>
      <c r="X203" s="233" t="s">
        <v>218</v>
      </c>
      <c r="Y203" s="230" t="s">
        <v>218</v>
      </c>
      <c r="Z203" s="191">
        <v>0</v>
      </c>
      <c r="AA203" s="191" t="s">
        <v>134</v>
      </c>
      <c r="AB203" s="221" t="s">
        <v>130</v>
      </c>
      <c r="AD203" s="359"/>
      <c r="AE203" s="374" t="s">
        <v>196</v>
      </c>
      <c r="AG203" s="183" t="str">
        <f t="shared" si="6"/>
        <v xml:space="preserve">[0,x,x,x,x,0,1,0,0,0]-&gt;[0,0,0,x,x,1,1,x,x,0];   </v>
      </c>
    </row>
    <row r="204" spans="1:33" x14ac:dyDescent="0.25">
      <c r="A204" s="248"/>
      <c r="C204" s="220" t="s">
        <v>135</v>
      </c>
      <c r="D204" s="283">
        <v>0</v>
      </c>
      <c r="E204" s="233" t="s">
        <v>218</v>
      </c>
      <c r="F204" s="214" t="s">
        <v>218</v>
      </c>
      <c r="G204" s="214" t="s">
        <v>218</v>
      </c>
      <c r="H204" s="230" t="s">
        <v>218</v>
      </c>
      <c r="I204" s="191">
        <v>0</v>
      </c>
      <c r="J204" s="191">
        <v>1</v>
      </c>
      <c r="K204" s="22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0</v>
      </c>
      <c r="S204" s="191">
        <v>1</v>
      </c>
      <c r="T204" s="233" t="s">
        <v>218</v>
      </c>
      <c r="U204" s="230" t="s">
        <v>218</v>
      </c>
      <c r="V204" s="191">
        <v>1</v>
      </c>
      <c r="W204" s="191">
        <v>1</v>
      </c>
      <c r="X204" s="233" t="s">
        <v>218</v>
      </c>
      <c r="Y204" s="230" t="s">
        <v>218</v>
      </c>
      <c r="Z204" s="191">
        <v>0</v>
      </c>
      <c r="AA204" s="191" t="s">
        <v>134</v>
      </c>
      <c r="AB204" s="221" t="s">
        <v>130</v>
      </c>
      <c r="AD204" s="359"/>
      <c r="AE204" s="374" t="s">
        <v>195</v>
      </c>
      <c r="AG204" s="183" t="str">
        <f t="shared" si="6"/>
        <v xml:space="preserve">[0,x,x,x,x,0,1,0,0,1]-&gt;[0,0,1,x,x,1,1,x,x,0];   </v>
      </c>
    </row>
    <row r="205" spans="1:33" x14ac:dyDescent="0.25">
      <c r="A205" s="248"/>
      <c r="C205" s="220" t="s">
        <v>135</v>
      </c>
      <c r="D205" s="283">
        <v>0</v>
      </c>
      <c r="E205" s="233" t="s">
        <v>218</v>
      </c>
      <c r="F205" s="214" t="s">
        <v>218</v>
      </c>
      <c r="G205" s="214" t="s">
        <v>218</v>
      </c>
      <c r="H205" s="230" t="s">
        <v>218</v>
      </c>
      <c r="I205" s="191">
        <v>0</v>
      </c>
      <c r="J205" s="191">
        <v>1</v>
      </c>
      <c r="K205" s="22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3" t="s">
        <v>218</v>
      </c>
      <c r="U205" s="230" t="s">
        <v>218</v>
      </c>
      <c r="V205" s="191">
        <v>1</v>
      </c>
      <c r="W205" s="191">
        <v>1</v>
      </c>
      <c r="X205" s="233" t="s">
        <v>218</v>
      </c>
      <c r="Y205" s="230" t="s">
        <v>218</v>
      </c>
      <c r="Z205" s="191">
        <v>0</v>
      </c>
      <c r="AA205" s="191" t="s">
        <v>134</v>
      </c>
      <c r="AB205" s="221" t="s">
        <v>130</v>
      </c>
      <c r="AD205" s="359"/>
      <c r="AE205" s="374" t="s">
        <v>194</v>
      </c>
      <c r="AG205" s="183" t="str">
        <f t="shared" si="6"/>
        <v xml:space="preserve">[0,x,x,x,x,0,1,0,1,0]-&gt;[0,1,0,x,x,1,1,x,x,0];   </v>
      </c>
    </row>
    <row r="206" spans="1:33" x14ac:dyDescent="0.25">
      <c r="A206" s="248"/>
      <c r="C206" s="220" t="s">
        <v>135</v>
      </c>
      <c r="D206" s="283">
        <v>0</v>
      </c>
      <c r="E206" s="233" t="s">
        <v>218</v>
      </c>
      <c r="F206" s="214" t="s">
        <v>218</v>
      </c>
      <c r="G206" s="214" t="s">
        <v>218</v>
      </c>
      <c r="H206" s="230" t="s">
        <v>218</v>
      </c>
      <c r="I206" s="191">
        <v>0</v>
      </c>
      <c r="J206" s="191">
        <v>1</v>
      </c>
      <c r="K206" s="22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1</v>
      </c>
      <c r="T206" s="233" t="s">
        <v>218</v>
      </c>
      <c r="U206" s="230" t="s">
        <v>218</v>
      </c>
      <c r="V206" s="191">
        <v>1</v>
      </c>
      <c r="W206" s="191">
        <v>1</v>
      </c>
      <c r="X206" s="233" t="s">
        <v>218</v>
      </c>
      <c r="Y206" s="230" t="s">
        <v>218</v>
      </c>
      <c r="Z206" s="191">
        <v>0</v>
      </c>
      <c r="AA206" s="191" t="s">
        <v>134</v>
      </c>
      <c r="AB206" s="221" t="s">
        <v>130</v>
      </c>
      <c r="AD206" s="359"/>
      <c r="AE206" s="374" t="s">
        <v>193</v>
      </c>
      <c r="AG206" s="183" t="str">
        <f t="shared" si="6"/>
        <v xml:space="preserve">[0,x,x,x,x,0,1,0,1,1]-&gt;[0,1,1,x,x,1,1,x,x,0];   </v>
      </c>
    </row>
    <row r="207" spans="1:33" x14ac:dyDescent="0.25">
      <c r="A207" s="248"/>
      <c r="C207" s="220" t="s">
        <v>135</v>
      </c>
      <c r="D207" s="283">
        <v>0</v>
      </c>
      <c r="E207" s="233" t="s">
        <v>218</v>
      </c>
      <c r="F207" s="214" t="s">
        <v>218</v>
      </c>
      <c r="G207" s="214" t="s">
        <v>218</v>
      </c>
      <c r="H207" s="230" t="s">
        <v>218</v>
      </c>
      <c r="I207" s="191">
        <v>0</v>
      </c>
      <c r="J207" s="191">
        <v>1</v>
      </c>
      <c r="K207" s="22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0</v>
      </c>
      <c r="S207" s="191">
        <v>0</v>
      </c>
      <c r="T207" s="233" t="s">
        <v>218</v>
      </c>
      <c r="U207" s="230" t="s">
        <v>218</v>
      </c>
      <c r="V207" s="191">
        <v>1</v>
      </c>
      <c r="W207" s="191">
        <v>1</v>
      </c>
      <c r="X207" s="233" t="s">
        <v>218</v>
      </c>
      <c r="Y207" s="230" t="s">
        <v>218</v>
      </c>
      <c r="Z207" s="191">
        <v>0</v>
      </c>
      <c r="AA207" s="191" t="s">
        <v>134</v>
      </c>
      <c r="AB207" s="221" t="s">
        <v>130</v>
      </c>
      <c r="AD207" s="359"/>
      <c r="AE207" s="374" t="s">
        <v>191</v>
      </c>
      <c r="AG207" s="183" t="str">
        <f>C207&amp;D207&amp;","&amp;E207&amp;","&amp;F207&amp;","&amp;G207&amp;","&amp;H207&amp;","&amp;I207&amp;","&amp;J207&amp;","&amp;K207&amp;","&amp;L207&amp;","&amp;M207&amp;N207&amp;O207&amp;P207&amp;Q207&amp;","&amp;R207&amp;","&amp;S207&amp;","&amp;T207&amp;","&amp;U207&amp;","&amp;V207&amp;","&amp;W207&amp;","&amp;X207&amp;","&amp;Y207&amp;","&amp;Z207&amp;AA207&amp;AB207&amp;"   "&amp;AC207&amp;AD207</f>
        <v xml:space="preserve">[0,x,x,x,x,0,1,1,0,0]-&gt;[0,0,0,x,x,1,1,x,x,0];   </v>
      </c>
    </row>
    <row r="208" spans="1:33" x14ac:dyDescent="0.25">
      <c r="A208" s="248"/>
      <c r="C208" s="220" t="s">
        <v>135</v>
      </c>
      <c r="D208" s="283">
        <v>0</v>
      </c>
      <c r="E208" s="233" t="s">
        <v>218</v>
      </c>
      <c r="F208" s="214" t="s">
        <v>218</v>
      </c>
      <c r="G208" s="214" t="s">
        <v>218</v>
      </c>
      <c r="H208" s="230" t="s">
        <v>218</v>
      </c>
      <c r="I208" s="191">
        <v>0</v>
      </c>
      <c r="J208" s="191">
        <v>1</v>
      </c>
      <c r="K208" s="22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0</v>
      </c>
      <c r="S208" s="191">
        <v>1</v>
      </c>
      <c r="T208" s="233" t="s">
        <v>218</v>
      </c>
      <c r="U208" s="230" t="s">
        <v>218</v>
      </c>
      <c r="V208" s="191">
        <v>1</v>
      </c>
      <c r="W208" s="191">
        <v>1</v>
      </c>
      <c r="X208" s="233" t="s">
        <v>218</v>
      </c>
      <c r="Y208" s="230" t="s">
        <v>218</v>
      </c>
      <c r="Z208" s="191">
        <v>0</v>
      </c>
      <c r="AA208" s="191" t="s">
        <v>134</v>
      </c>
      <c r="AB208" s="221" t="s">
        <v>130</v>
      </c>
      <c r="AD208" s="359"/>
      <c r="AE208" s="374" t="s">
        <v>190</v>
      </c>
      <c r="AG208" s="183" t="str">
        <f t="shared" si="6"/>
        <v xml:space="preserve">[0,x,x,x,x,0,1,1,0,1]-&gt;[0,0,1,x,x,1,1,x,x,0];   </v>
      </c>
    </row>
    <row r="209" spans="1:33" x14ac:dyDescent="0.25">
      <c r="A209" s="248"/>
      <c r="C209" s="220" t="s">
        <v>135</v>
      </c>
      <c r="D209" s="283">
        <v>0</v>
      </c>
      <c r="E209" s="233" t="s">
        <v>218</v>
      </c>
      <c r="F209" s="214" t="s">
        <v>218</v>
      </c>
      <c r="G209" s="214" t="s">
        <v>218</v>
      </c>
      <c r="H209" s="230" t="s">
        <v>218</v>
      </c>
      <c r="I209" s="191">
        <v>0</v>
      </c>
      <c r="J209" s="191">
        <v>1</v>
      </c>
      <c r="K209" s="22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233" t="s">
        <v>218</v>
      </c>
      <c r="U209" s="230" t="s">
        <v>218</v>
      </c>
      <c r="V209" s="191">
        <v>1</v>
      </c>
      <c r="W209" s="191">
        <v>1</v>
      </c>
      <c r="X209" s="233" t="s">
        <v>218</v>
      </c>
      <c r="Y209" s="230" t="s">
        <v>218</v>
      </c>
      <c r="Z209" s="191">
        <v>0</v>
      </c>
      <c r="AA209" s="191" t="s">
        <v>134</v>
      </c>
      <c r="AB209" s="221" t="s">
        <v>130</v>
      </c>
      <c r="AD209" s="359"/>
      <c r="AE209" s="374" t="s">
        <v>188</v>
      </c>
      <c r="AG209" s="183" t="str">
        <f t="shared" si="6"/>
        <v xml:space="preserve">[0,x,x,x,x,0,1,1,1,0]-&gt;[0,1,0,x,x,1,1,x,x,0];   </v>
      </c>
    </row>
    <row r="210" spans="1:33" ht="15.75" thickBot="1" x14ac:dyDescent="0.3">
      <c r="A210" s="248"/>
      <c r="C210" s="220" t="s">
        <v>135</v>
      </c>
      <c r="D210" s="283">
        <v>0</v>
      </c>
      <c r="E210" s="233" t="s">
        <v>218</v>
      </c>
      <c r="F210" s="214" t="s">
        <v>218</v>
      </c>
      <c r="G210" s="214" t="s">
        <v>218</v>
      </c>
      <c r="H210" s="230" t="s">
        <v>218</v>
      </c>
      <c r="I210" s="223">
        <v>0</v>
      </c>
      <c r="J210" s="223">
        <v>1</v>
      </c>
      <c r="K210" s="225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1</v>
      </c>
      <c r="T210" s="233" t="s">
        <v>218</v>
      </c>
      <c r="U210" s="230" t="s">
        <v>218</v>
      </c>
      <c r="V210" s="191">
        <v>1</v>
      </c>
      <c r="W210" s="191">
        <v>1</v>
      </c>
      <c r="X210" s="233" t="s">
        <v>218</v>
      </c>
      <c r="Y210" s="230" t="s">
        <v>218</v>
      </c>
      <c r="Z210" s="191">
        <v>0</v>
      </c>
      <c r="AA210" s="191" t="s">
        <v>134</v>
      </c>
      <c r="AB210" s="221" t="s">
        <v>130</v>
      </c>
      <c r="AD210" s="360"/>
      <c r="AE210" s="374" t="s">
        <v>186</v>
      </c>
      <c r="AG210" s="183" t="str">
        <f t="shared" si="6"/>
        <v xml:space="preserve">[0,x,x,x,x,0,1,1,1,1]-&gt;[0,1,1,x,x,1,1,x,x,0];   </v>
      </c>
    </row>
    <row r="211" spans="1:33" x14ac:dyDescent="0.25">
      <c r="A211" s="248"/>
      <c r="C211" s="220" t="s">
        <v>135</v>
      </c>
      <c r="D211" s="283">
        <v>0</v>
      </c>
      <c r="E211" s="233" t="s">
        <v>218</v>
      </c>
      <c r="F211" s="214" t="s">
        <v>218</v>
      </c>
      <c r="G211" s="214" t="s">
        <v>218</v>
      </c>
      <c r="H211" s="230" t="s">
        <v>218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273">
        <v>0</v>
      </c>
      <c r="R211" s="274">
        <v>1</v>
      </c>
      <c r="S211" s="275">
        <v>0</v>
      </c>
      <c r="T211" s="233" t="s">
        <v>218</v>
      </c>
      <c r="U211" s="230" t="s">
        <v>218</v>
      </c>
      <c r="V211" s="191">
        <v>1</v>
      </c>
      <c r="W211" s="282">
        <v>0</v>
      </c>
      <c r="X211" s="273">
        <v>0</v>
      </c>
      <c r="Y211" s="275">
        <v>0</v>
      </c>
      <c r="Z211" s="191">
        <v>0</v>
      </c>
      <c r="AA211" s="191" t="s">
        <v>134</v>
      </c>
      <c r="AB211" s="221" t="s">
        <v>130</v>
      </c>
      <c r="AC211" s="242" t="s">
        <v>216</v>
      </c>
      <c r="AD211" s="297" t="s">
        <v>266</v>
      </c>
      <c r="AE211" s="374" t="s">
        <v>183</v>
      </c>
      <c r="AG211" s="183" t="str">
        <f>C211&amp;D211&amp;","&amp;E211&amp;","&amp;F211&amp;","&amp;G211&amp;","&amp;H211&amp;","&amp;I211&amp;","&amp;J211&amp;","&amp;K211&amp;","&amp;L211&amp;","&amp;M211&amp;N211&amp;O211&amp;P211&amp;Q211&amp;","&amp;R211&amp;","&amp;S211&amp;","&amp;T211&amp;","&amp;U211&amp;","&amp;V211&amp;","&amp;W211&amp;","&amp;X211&amp;","&amp;Y211&amp;","&amp;Z211&amp;AA211&amp;AB211&amp;"   "&amp;AC211&amp;AD211</f>
        <v>[0,x,x,x,x,1,0,0,0,0]-&gt;[0,1,0,x,x,1,0,0,0,0];   "DolphinDOS RAM</v>
      </c>
    </row>
    <row r="212" spans="1:33" x14ac:dyDescent="0.25">
      <c r="A212" s="248"/>
      <c r="C212" s="220" t="s">
        <v>135</v>
      </c>
      <c r="D212" s="283">
        <v>0</v>
      </c>
      <c r="E212" s="233" t="s">
        <v>218</v>
      </c>
      <c r="F212" s="214" t="s">
        <v>218</v>
      </c>
      <c r="G212" s="214" t="s">
        <v>218</v>
      </c>
      <c r="H212" s="230" t="s">
        <v>218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276">
        <v>0</v>
      </c>
      <c r="R212" s="270">
        <v>1</v>
      </c>
      <c r="S212" s="277">
        <v>0</v>
      </c>
      <c r="T212" s="233" t="s">
        <v>218</v>
      </c>
      <c r="U212" s="230" t="s">
        <v>218</v>
      </c>
      <c r="V212" s="191">
        <v>1</v>
      </c>
      <c r="W212" s="283">
        <v>0</v>
      </c>
      <c r="X212" s="276">
        <v>0</v>
      </c>
      <c r="Y212" s="277">
        <v>0</v>
      </c>
      <c r="Z212" s="191">
        <v>0</v>
      </c>
      <c r="AA212" s="191" t="s">
        <v>134</v>
      </c>
      <c r="AB212" s="221" t="s">
        <v>130</v>
      </c>
      <c r="AD212" s="297"/>
      <c r="AE212" s="374" t="s">
        <v>182</v>
      </c>
      <c r="AG212" s="183" t="str">
        <f t="shared" si="6"/>
        <v xml:space="preserve">[0,x,x,x,x,1,0,0,0,1]-&gt;[0,1,0,x,x,1,0,0,0,0];   </v>
      </c>
    </row>
    <row r="213" spans="1:33" x14ac:dyDescent="0.25">
      <c r="A213" s="248"/>
      <c r="C213" s="220" t="s">
        <v>135</v>
      </c>
      <c r="D213" s="283">
        <v>0</v>
      </c>
      <c r="E213" s="233" t="s">
        <v>218</v>
      </c>
      <c r="F213" s="214" t="s">
        <v>218</v>
      </c>
      <c r="G213" s="214" t="s">
        <v>218</v>
      </c>
      <c r="H213" s="230" t="s">
        <v>218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276">
        <v>0</v>
      </c>
      <c r="R213" s="270">
        <v>1</v>
      </c>
      <c r="S213" s="277">
        <v>0</v>
      </c>
      <c r="T213" s="233" t="s">
        <v>218</v>
      </c>
      <c r="U213" s="230" t="s">
        <v>218</v>
      </c>
      <c r="V213" s="191">
        <v>1</v>
      </c>
      <c r="W213" s="283">
        <v>0</v>
      </c>
      <c r="X213" s="276">
        <v>0</v>
      </c>
      <c r="Y213" s="277">
        <v>0</v>
      </c>
      <c r="Z213" s="191">
        <v>0</v>
      </c>
      <c r="AA213" s="191" t="s">
        <v>134</v>
      </c>
      <c r="AB213" s="221" t="s">
        <v>130</v>
      </c>
      <c r="AD213" s="297"/>
      <c r="AE213" s="374" t="s">
        <v>181</v>
      </c>
      <c r="AG213" s="183" t="str">
        <f t="shared" si="6"/>
        <v xml:space="preserve">[0,x,x,x,x,1,0,0,1,0]-&gt;[0,1,0,x,x,1,0,0,0,0];   </v>
      </c>
    </row>
    <row r="214" spans="1:33" ht="15.75" thickBot="1" x14ac:dyDescent="0.3">
      <c r="A214" s="248"/>
      <c r="C214" s="220" t="s">
        <v>135</v>
      </c>
      <c r="D214" s="283">
        <v>0</v>
      </c>
      <c r="E214" s="233" t="s">
        <v>218</v>
      </c>
      <c r="F214" s="214" t="s">
        <v>218</v>
      </c>
      <c r="G214" s="214" t="s">
        <v>218</v>
      </c>
      <c r="H214" s="230" t="s">
        <v>218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278">
        <v>0</v>
      </c>
      <c r="R214" s="271">
        <v>1</v>
      </c>
      <c r="S214" s="279">
        <v>0</v>
      </c>
      <c r="T214" s="233" t="s">
        <v>218</v>
      </c>
      <c r="U214" s="230" t="s">
        <v>218</v>
      </c>
      <c r="V214" s="191">
        <v>1</v>
      </c>
      <c r="W214" s="284">
        <v>0</v>
      </c>
      <c r="X214" s="278">
        <v>0</v>
      </c>
      <c r="Y214" s="279">
        <v>0</v>
      </c>
      <c r="Z214" s="191">
        <v>0</v>
      </c>
      <c r="AA214" s="191" t="s">
        <v>134</v>
      </c>
      <c r="AB214" s="221" t="s">
        <v>130</v>
      </c>
      <c r="AD214" s="298"/>
      <c r="AE214" s="374" t="s">
        <v>180</v>
      </c>
      <c r="AG214" s="183" t="str">
        <f t="shared" si="6"/>
        <v xml:space="preserve">[0,x,x,x,x,1,0,0,1,1]-&gt;[0,1,0,x,x,1,0,0,0,0];   </v>
      </c>
    </row>
    <row r="215" spans="1:33" x14ac:dyDescent="0.25">
      <c r="A215" s="248"/>
      <c r="C215" s="220" t="s">
        <v>135</v>
      </c>
      <c r="D215" s="283">
        <v>0</v>
      </c>
      <c r="E215" s="233" t="s">
        <v>218</v>
      </c>
      <c r="F215" s="214" t="s">
        <v>218</v>
      </c>
      <c r="G215" s="214" t="s">
        <v>218</v>
      </c>
      <c r="H215" s="230" t="s">
        <v>218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273">
        <v>0</v>
      </c>
      <c r="R215" s="274">
        <v>1</v>
      </c>
      <c r="S215" s="275">
        <v>0</v>
      </c>
      <c r="T215" s="273">
        <v>0</v>
      </c>
      <c r="U215" s="275">
        <v>1</v>
      </c>
      <c r="V215" s="282">
        <v>0</v>
      </c>
      <c r="W215" s="191">
        <v>1</v>
      </c>
      <c r="X215" s="276">
        <v>0</v>
      </c>
      <c r="Y215" s="277">
        <v>0</v>
      </c>
      <c r="Z215" s="191">
        <v>0</v>
      </c>
      <c r="AA215" s="191" t="s">
        <v>134</v>
      </c>
      <c r="AB215" s="221" t="s">
        <v>130</v>
      </c>
      <c r="AC215" s="242" t="s">
        <v>216</v>
      </c>
      <c r="AD215" s="272" t="s">
        <v>269</v>
      </c>
      <c r="AE215" s="374" t="s">
        <v>178</v>
      </c>
      <c r="AG215" s="183" t="str">
        <f t="shared" si="6"/>
        <v>[0,x,x,x,x,1,0,1,0,0]-&gt;[0,1,0,0,1,0,1,0,0,0];   "DolphinDOS Dos-Extension (8000)</v>
      </c>
    </row>
    <row r="216" spans="1:33" x14ac:dyDescent="0.25">
      <c r="A216" s="248"/>
      <c r="C216" s="220" t="s">
        <v>135</v>
      </c>
      <c r="D216" s="283">
        <v>0</v>
      </c>
      <c r="E216" s="233" t="s">
        <v>218</v>
      </c>
      <c r="F216" s="214" t="s">
        <v>218</v>
      </c>
      <c r="G216" s="214" t="s">
        <v>218</v>
      </c>
      <c r="H216" s="230" t="s">
        <v>218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276">
        <v>0</v>
      </c>
      <c r="R216" s="270">
        <v>1</v>
      </c>
      <c r="S216" s="277">
        <v>0</v>
      </c>
      <c r="T216" s="276">
        <v>0</v>
      </c>
      <c r="U216" s="277">
        <v>1</v>
      </c>
      <c r="V216" s="283">
        <v>0</v>
      </c>
      <c r="W216" s="191">
        <v>1</v>
      </c>
      <c r="X216" s="276">
        <v>0</v>
      </c>
      <c r="Y216" s="277">
        <v>0</v>
      </c>
      <c r="Z216" s="191">
        <v>0</v>
      </c>
      <c r="AA216" s="191" t="s">
        <v>134</v>
      </c>
      <c r="AB216" s="221" t="s">
        <v>130</v>
      </c>
      <c r="AD216" s="297"/>
      <c r="AE216" s="374" t="s">
        <v>177</v>
      </c>
      <c r="AG216" s="183" t="str">
        <f t="shared" si="6"/>
        <v xml:space="preserve">[0,x,x,x,x,1,0,1,0,1]-&gt;[0,1,0,0,1,0,1,0,0,0];   </v>
      </c>
    </row>
    <row r="217" spans="1:33" x14ac:dyDescent="0.25">
      <c r="A217" s="248"/>
      <c r="C217" s="220" t="s">
        <v>135</v>
      </c>
      <c r="D217" s="283">
        <v>0</v>
      </c>
      <c r="E217" s="233" t="s">
        <v>218</v>
      </c>
      <c r="F217" s="214" t="s">
        <v>218</v>
      </c>
      <c r="G217" s="214" t="s">
        <v>218</v>
      </c>
      <c r="H217" s="230" t="s">
        <v>218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276">
        <v>0</v>
      </c>
      <c r="R217" s="270">
        <v>1</v>
      </c>
      <c r="S217" s="277">
        <v>0</v>
      </c>
      <c r="T217" s="276">
        <v>0</v>
      </c>
      <c r="U217" s="277">
        <v>1</v>
      </c>
      <c r="V217" s="283">
        <v>0</v>
      </c>
      <c r="W217" s="191">
        <v>1</v>
      </c>
      <c r="X217" s="276">
        <v>0</v>
      </c>
      <c r="Y217" s="277">
        <v>0</v>
      </c>
      <c r="Z217" s="191">
        <v>0</v>
      </c>
      <c r="AA217" s="191" t="s">
        <v>134</v>
      </c>
      <c r="AB217" s="221" t="s">
        <v>130</v>
      </c>
      <c r="AD217" s="297"/>
      <c r="AE217" s="374" t="s">
        <v>176</v>
      </c>
      <c r="AG217" s="183" t="str">
        <f t="shared" si="6"/>
        <v xml:space="preserve">[0,x,x,x,x,1,0,1,1,0]-&gt;[0,1,0,0,1,0,1,0,0,0];   </v>
      </c>
    </row>
    <row r="218" spans="1:33" ht="15.75" thickBot="1" x14ac:dyDescent="0.3">
      <c r="A218" s="248"/>
      <c r="C218" s="220" t="s">
        <v>135</v>
      </c>
      <c r="D218" s="283">
        <v>0</v>
      </c>
      <c r="E218" s="233" t="s">
        <v>218</v>
      </c>
      <c r="F218" s="214" t="s">
        <v>218</v>
      </c>
      <c r="G218" s="214" t="s">
        <v>218</v>
      </c>
      <c r="H218" s="230" t="s">
        <v>218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278">
        <v>0</v>
      </c>
      <c r="R218" s="271">
        <v>1</v>
      </c>
      <c r="S218" s="279">
        <v>0</v>
      </c>
      <c r="T218" s="276">
        <v>0</v>
      </c>
      <c r="U218" s="277">
        <v>1</v>
      </c>
      <c r="V218" s="284">
        <v>0</v>
      </c>
      <c r="W218" s="191">
        <v>1</v>
      </c>
      <c r="X218" s="278">
        <v>0</v>
      </c>
      <c r="Y218" s="279">
        <v>0</v>
      </c>
      <c r="Z218" s="191">
        <v>0</v>
      </c>
      <c r="AA218" s="191" t="s">
        <v>134</v>
      </c>
      <c r="AB218" s="221" t="s">
        <v>130</v>
      </c>
      <c r="AD218" s="298"/>
      <c r="AE218" s="374" t="s">
        <v>175</v>
      </c>
      <c r="AG218" s="183" t="str">
        <f t="shared" si="6"/>
        <v xml:space="preserve">[0,x,x,x,x,1,0,1,1,1]-&gt;[0,1,0,0,1,0,1,0,0,0];   </v>
      </c>
    </row>
    <row r="219" spans="1:33" x14ac:dyDescent="0.25">
      <c r="A219" s="248"/>
      <c r="C219" s="220" t="s">
        <v>135</v>
      </c>
      <c r="D219" s="283">
        <v>0</v>
      </c>
      <c r="E219" s="233" t="s">
        <v>218</v>
      </c>
      <c r="F219" s="214" t="s">
        <v>218</v>
      </c>
      <c r="G219" s="214" t="s">
        <v>218</v>
      </c>
      <c r="H219" s="230" t="s">
        <v>218</v>
      </c>
      <c r="I219" s="217">
        <v>1</v>
      </c>
      <c r="J219" s="217">
        <v>1</v>
      </c>
      <c r="K219" s="219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73">
        <v>0</v>
      </c>
      <c r="R219" s="274">
        <v>1</v>
      </c>
      <c r="S219" s="275">
        <v>0</v>
      </c>
      <c r="T219" s="273">
        <v>1</v>
      </c>
      <c r="U219" s="275">
        <v>0</v>
      </c>
      <c r="V219" s="283">
        <v>0</v>
      </c>
      <c r="W219" s="191">
        <v>1</v>
      </c>
      <c r="X219" s="276">
        <v>0</v>
      </c>
      <c r="Y219" s="277">
        <v>0</v>
      </c>
      <c r="Z219" s="191">
        <v>0</v>
      </c>
      <c r="AA219" s="191" t="s">
        <v>134</v>
      </c>
      <c r="AB219" s="221" t="s">
        <v>130</v>
      </c>
      <c r="AC219" s="242" t="s">
        <v>216</v>
      </c>
      <c r="AD219" s="272" t="s">
        <v>268</v>
      </c>
      <c r="AE219" s="374" t="s">
        <v>172</v>
      </c>
      <c r="AG219" s="183" t="str">
        <f t="shared" si="6"/>
        <v>[0,x,x,x,x,1,1,0,0,0]-&gt;[0,1,0,1,0,0,1,0,0,0];   "DolphinDOS LoRom (A000)</v>
      </c>
    </row>
    <row r="220" spans="1:33" x14ac:dyDescent="0.25">
      <c r="A220" s="248"/>
      <c r="C220" s="220" t="s">
        <v>135</v>
      </c>
      <c r="D220" s="283">
        <v>0</v>
      </c>
      <c r="E220" s="233" t="s">
        <v>218</v>
      </c>
      <c r="F220" s="214" t="s">
        <v>218</v>
      </c>
      <c r="G220" s="214" t="s">
        <v>218</v>
      </c>
      <c r="H220" s="230" t="s">
        <v>218</v>
      </c>
      <c r="I220" s="191">
        <v>1</v>
      </c>
      <c r="J220" s="191">
        <v>1</v>
      </c>
      <c r="K220" s="221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76">
        <v>0</v>
      </c>
      <c r="R220" s="270">
        <v>1</v>
      </c>
      <c r="S220" s="277">
        <v>0</v>
      </c>
      <c r="T220" s="276">
        <v>1</v>
      </c>
      <c r="U220" s="277">
        <v>0</v>
      </c>
      <c r="V220" s="283">
        <v>0</v>
      </c>
      <c r="W220" s="191">
        <v>1</v>
      </c>
      <c r="X220" s="276">
        <v>0</v>
      </c>
      <c r="Y220" s="277">
        <v>0</v>
      </c>
      <c r="Z220" s="191">
        <v>0</v>
      </c>
      <c r="AA220" s="191" t="s">
        <v>134</v>
      </c>
      <c r="AB220" s="221" t="s">
        <v>130</v>
      </c>
      <c r="AD220" s="297"/>
      <c r="AE220" s="374" t="s">
        <v>171</v>
      </c>
      <c r="AG220" s="183" t="str">
        <f t="shared" si="6"/>
        <v xml:space="preserve">[0,x,x,x,x,1,1,0,0,1]-&gt;[0,1,0,1,0,0,1,0,0,0];   </v>
      </c>
    </row>
    <row r="221" spans="1:33" x14ac:dyDescent="0.25">
      <c r="A221" s="248"/>
      <c r="C221" s="220" t="s">
        <v>135</v>
      </c>
      <c r="D221" s="283">
        <v>0</v>
      </c>
      <c r="E221" s="233" t="s">
        <v>218</v>
      </c>
      <c r="F221" s="214" t="s">
        <v>218</v>
      </c>
      <c r="G221" s="214" t="s">
        <v>218</v>
      </c>
      <c r="H221" s="230" t="s">
        <v>218</v>
      </c>
      <c r="I221" s="191">
        <v>1</v>
      </c>
      <c r="J221" s="191">
        <v>1</v>
      </c>
      <c r="K221" s="221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76">
        <v>0</v>
      </c>
      <c r="R221" s="270">
        <v>1</v>
      </c>
      <c r="S221" s="277">
        <v>0</v>
      </c>
      <c r="T221" s="276">
        <v>1</v>
      </c>
      <c r="U221" s="277">
        <v>0</v>
      </c>
      <c r="V221" s="283">
        <v>0</v>
      </c>
      <c r="W221" s="191">
        <v>1</v>
      </c>
      <c r="X221" s="276">
        <v>0</v>
      </c>
      <c r="Y221" s="277">
        <v>0</v>
      </c>
      <c r="Z221" s="191">
        <v>0</v>
      </c>
      <c r="AA221" s="191" t="s">
        <v>134</v>
      </c>
      <c r="AB221" s="221" t="s">
        <v>130</v>
      </c>
      <c r="AD221" s="297"/>
      <c r="AE221" s="374" t="s">
        <v>170</v>
      </c>
      <c r="AG221" s="183" t="str">
        <f t="shared" si="6"/>
        <v xml:space="preserve">[0,x,x,x,x,1,1,0,1,0]-&gt;[0,1,0,1,0,0,1,0,0,0];   </v>
      </c>
    </row>
    <row r="222" spans="1:33" ht="15.75" thickBot="1" x14ac:dyDescent="0.3">
      <c r="A222" s="248"/>
      <c r="C222" s="220" t="s">
        <v>135</v>
      </c>
      <c r="D222" s="283">
        <v>0</v>
      </c>
      <c r="E222" s="233" t="s">
        <v>218</v>
      </c>
      <c r="F222" s="214" t="s">
        <v>218</v>
      </c>
      <c r="G222" s="214" t="s">
        <v>218</v>
      </c>
      <c r="H222" s="230" t="s">
        <v>218</v>
      </c>
      <c r="I222" s="223">
        <v>1</v>
      </c>
      <c r="J222" s="223">
        <v>1</v>
      </c>
      <c r="K222" s="225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78">
        <v>0</v>
      </c>
      <c r="R222" s="271">
        <v>1</v>
      </c>
      <c r="S222" s="279">
        <v>0</v>
      </c>
      <c r="T222" s="278">
        <v>1</v>
      </c>
      <c r="U222" s="279">
        <v>0</v>
      </c>
      <c r="V222" s="284">
        <v>0</v>
      </c>
      <c r="W222" s="191">
        <v>1</v>
      </c>
      <c r="X222" s="278">
        <v>0</v>
      </c>
      <c r="Y222" s="279">
        <v>0</v>
      </c>
      <c r="Z222" s="191">
        <v>0</v>
      </c>
      <c r="AA222" s="191" t="s">
        <v>134</v>
      </c>
      <c r="AB222" s="221" t="s">
        <v>130</v>
      </c>
      <c r="AD222" s="298"/>
      <c r="AE222" s="374" t="s">
        <v>169</v>
      </c>
      <c r="AG222" s="183" t="str">
        <f t="shared" si="6"/>
        <v xml:space="preserve">[0,x,x,x,x,1,1,0,1,1]-&gt;[0,1,0,1,0,0,1,0,0,0];   </v>
      </c>
    </row>
    <row r="223" spans="1:33" x14ac:dyDescent="0.25">
      <c r="A223" s="248"/>
      <c r="C223" s="220" t="s">
        <v>135</v>
      </c>
      <c r="D223" s="283">
        <v>0</v>
      </c>
      <c r="E223" s="233" t="s">
        <v>218</v>
      </c>
      <c r="F223" s="214" t="s">
        <v>218</v>
      </c>
      <c r="G223" s="214" t="s">
        <v>218</v>
      </c>
      <c r="H223" s="230" t="s">
        <v>218</v>
      </c>
      <c r="I223" s="217">
        <v>1</v>
      </c>
      <c r="J223" s="217">
        <v>1</v>
      </c>
      <c r="K223" s="219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73">
        <v>0</v>
      </c>
      <c r="R223" s="274">
        <v>1</v>
      </c>
      <c r="S223" s="275">
        <v>0</v>
      </c>
      <c r="T223" s="276">
        <v>1</v>
      </c>
      <c r="U223" s="277">
        <v>1</v>
      </c>
      <c r="V223" s="283">
        <v>0</v>
      </c>
      <c r="W223" s="191">
        <v>1</v>
      </c>
      <c r="X223" s="276">
        <v>0</v>
      </c>
      <c r="Y223" s="277">
        <v>0</v>
      </c>
      <c r="Z223" s="191">
        <v>0</v>
      </c>
      <c r="AA223" s="191" t="s">
        <v>134</v>
      </c>
      <c r="AB223" s="221" t="s">
        <v>130</v>
      </c>
      <c r="AC223" s="242" t="s">
        <v>216</v>
      </c>
      <c r="AD223" s="272" t="s">
        <v>267</v>
      </c>
      <c r="AE223" s="374" t="s">
        <v>168</v>
      </c>
      <c r="AG223" s="183" t="str">
        <f t="shared" si="6"/>
        <v>[0,x,x,x,x,1,1,1,0,0]-&gt;[0,1,0,1,1,0,1,0,0,0];   "DolphinDOS HiRom (C000)</v>
      </c>
    </row>
    <row r="224" spans="1:33" x14ac:dyDescent="0.25">
      <c r="A224" s="248"/>
      <c r="C224" s="220" t="s">
        <v>135</v>
      </c>
      <c r="D224" s="283">
        <v>0</v>
      </c>
      <c r="E224" s="233" t="s">
        <v>218</v>
      </c>
      <c r="F224" s="214" t="s">
        <v>218</v>
      </c>
      <c r="G224" s="214" t="s">
        <v>218</v>
      </c>
      <c r="H224" s="230" t="s">
        <v>218</v>
      </c>
      <c r="I224" s="191">
        <v>1</v>
      </c>
      <c r="J224" s="191">
        <v>1</v>
      </c>
      <c r="K224" s="221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76">
        <v>0</v>
      </c>
      <c r="R224" s="270">
        <v>1</v>
      </c>
      <c r="S224" s="277">
        <v>0</v>
      </c>
      <c r="T224" s="276">
        <v>1</v>
      </c>
      <c r="U224" s="277">
        <v>1</v>
      </c>
      <c r="V224" s="283">
        <v>0</v>
      </c>
      <c r="W224" s="191">
        <v>1</v>
      </c>
      <c r="X224" s="276">
        <v>0</v>
      </c>
      <c r="Y224" s="277">
        <v>0</v>
      </c>
      <c r="Z224" s="191">
        <v>0</v>
      </c>
      <c r="AA224" s="191" t="s">
        <v>134</v>
      </c>
      <c r="AB224" s="221" t="s">
        <v>130</v>
      </c>
      <c r="AD224" s="297"/>
      <c r="AE224" s="374" t="s">
        <v>167</v>
      </c>
      <c r="AG224" s="183" t="str">
        <f t="shared" si="6"/>
        <v xml:space="preserve">[0,x,x,x,x,1,1,1,0,1]-&gt;[0,1,0,1,1,0,1,0,0,0];   </v>
      </c>
    </row>
    <row r="225" spans="1:33" x14ac:dyDescent="0.25">
      <c r="A225" s="248"/>
      <c r="C225" s="220" t="s">
        <v>135</v>
      </c>
      <c r="D225" s="283">
        <v>0</v>
      </c>
      <c r="E225" s="233" t="s">
        <v>218</v>
      </c>
      <c r="F225" s="214" t="s">
        <v>218</v>
      </c>
      <c r="G225" s="214" t="s">
        <v>218</v>
      </c>
      <c r="H225" s="230" t="s">
        <v>218</v>
      </c>
      <c r="I225" s="191">
        <v>1</v>
      </c>
      <c r="J225" s="191">
        <v>1</v>
      </c>
      <c r="K225" s="221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76">
        <v>0</v>
      </c>
      <c r="R225" s="270">
        <v>1</v>
      </c>
      <c r="S225" s="277">
        <v>0</v>
      </c>
      <c r="T225" s="276">
        <v>1</v>
      </c>
      <c r="U225" s="277">
        <v>1</v>
      </c>
      <c r="V225" s="283">
        <v>0</v>
      </c>
      <c r="W225" s="191">
        <v>1</v>
      </c>
      <c r="X225" s="276">
        <v>0</v>
      </c>
      <c r="Y225" s="277">
        <v>0</v>
      </c>
      <c r="Z225" s="191">
        <v>0</v>
      </c>
      <c r="AA225" s="191" t="s">
        <v>134</v>
      </c>
      <c r="AB225" s="221" t="s">
        <v>130</v>
      </c>
      <c r="AD225" s="297"/>
      <c r="AE225" s="374" t="s">
        <v>166</v>
      </c>
      <c r="AG225" s="183" t="str">
        <f t="shared" si="6"/>
        <v xml:space="preserve">[0,x,x,x,x,1,1,1,1,0]-&gt;[0,1,0,1,1,0,1,0,0,0];   </v>
      </c>
    </row>
    <row r="226" spans="1:33" ht="15.75" thickBot="1" x14ac:dyDescent="0.3">
      <c r="A226" s="249"/>
      <c r="B226" s="244"/>
      <c r="C226" s="222" t="s">
        <v>135</v>
      </c>
      <c r="D226" s="284">
        <v>0</v>
      </c>
      <c r="E226" s="234" t="s">
        <v>218</v>
      </c>
      <c r="F226" s="229" t="s">
        <v>218</v>
      </c>
      <c r="G226" s="229" t="s">
        <v>218</v>
      </c>
      <c r="H226" s="231" t="s">
        <v>218</v>
      </c>
      <c r="I226" s="223">
        <v>1</v>
      </c>
      <c r="J226" s="223">
        <v>1</v>
      </c>
      <c r="K226" s="225">
        <v>1</v>
      </c>
      <c r="L226" s="223">
        <v>1</v>
      </c>
      <c r="M226" s="223">
        <v>1</v>
      </c>
      <c r="N226" s="223" t="s">
        <v>134</v>
      </c>
      <c r="O226" s="224" t="s">
        <v>212</v>
      </c>
      <c r="P226" s="223" t="s">
        <v>135</v>
      </c>
      <c r="Q226" s="278">
        <v>0</v>
      </c>
      <c r="R226" s="271">
        <v>1</v>
      </c>
      <c r="S226" s="279">
        <v>0</v>
      </c>
      <c r="T226" s="278">
        <v>1</v>
      </c>
      <c r="U226" s="279">
        <v>1</v>
      </c>
      <c r="V226" s="284">
        <v>0</v>
      </c>
      <c r="W226" s="223">
        <v>1</v>
      </c>
      <c r="X226" s="278">
        <v>0</v>
      </c>
      <c r="Y226" s="279">
        <v>0</v>
      </c>
      <c r="Z226" s="223">
        <v>0</v>
      </c>
      <c r="AA226" s="223" t="s">
        <v>134</v>
      </c>
      <c r="AB226" s="225" t="s">
        <v>130</v>
      </c>
      <c r="AC226" s="245"/>
      <c r="AD226" s="298"/>
      <c r="AE226" s="375" t="s">
        <v>165</v>
      </c>
      <c r="AG226" s="183" t="str">
        <f t="shared" si="6"/>
        <v xml:space="preserve">[0,x,x,x,x,1,1,1,1,1]-&gt;[0,1,0,1,1,0,1,0,0,0];   </v>
      </c>
    </row>
    <row r="227" spans="1:33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topLeftCell="O1" zoomScaleNormal="100" workbookViewId="0">
      <pane ySplit="2" topLeftCell="A20" activePane="bottomLeft" state="frozen"/>
      <selection pane="bottomLeft" activeCell="X54" sqref="X5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197" customWidth="1"/>
    <col min="14" max="14" width="20.85546875" style="197" customWidth="1"/>
    <col min="15" max="15" width="6.28515625" style="197" bestFit="1" customWidth="1"/>
    <col min="16" max="16" width="20.85546875" style="197" customWidth="1"/>
    <col min="17" max="17" width="4.28515625" style="202" bestFit="1" customWidth="1"/>
    <col min="18" max="18" width="20.85546875" style="197" customWidth="1"/>
    <col min="19" max="19" width="6.28515625" style="202" bestFit="1" customWidth="1"/>
    <col min="20" max="20" width="20.85546875" style="197" customWidth="1"/>
    <col min="21" max="21" width="4.28515625" style="197" customWidth="1"/>
    <col min="22" max="22" width="20.85546875" style="202" customWidth="1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32" width="21.28515625" style="197"/>
    <col min="33" max="33" width="4.28515625" style="197" customWidth="1"/>
    <col min="34" max="34" width="21.28515625" style="197"/>
    <col min="35" max="35" width="6.28515625" style="197" bestFit="1" customWidth="1"/>
    <col min="36" max="16384" width="21.28515625" style="197"/>
  </cols>
  <sheetData>
    <row r="1" spans="1:35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329</v>
      </c>
      <c r="K1" s="202"/>
      <c r="L1" s="207" t="s">
        <v>322</v>
      </c>
      <c r="M1" s="202"/>
      <c r="N1" s="207" t="s">
        <v>158</v>
      </c>
      <c r="O1" s="202"/>
      <c r="P1" s="207" t="s">
        <v>159</v>
      </c>
      <c r="R1" s="207" t="s">
        <v>156</v>
      </c>
      <c r="T1" s="207" t="s">
        <v>157</v>
      </c>
      <c r="U1" s="202"/>
      <c r="V1" s="207" t="s">
        <v>228</v>
      </c>
      <c r="W1" s="202"/>
      <c r="X1" s="207" t="s">
        <v>224</v>
      </c>
      <c r="Y1" s="202"/>
      <c r="Z1" s="207" t="s">
        <v>223</v>
      </c>
      <c r="AA1" s="202"/>
      <c r="AB1" s="207" t="s">
        <v>222</v>
      </c>
      <c r="AC1" s="202"/>
      <c r="AD1" s="207" t="s">
        <v>162</v>
      </c>
      <c r="AE1" s="202"/>
      <c r="AF1" s="207">
        <v>1581</v>
      </c>
      <c r="AG1" s="202"/>
      <c r="AH1" s="207" t="s">
        <v>229</v>
      </c>
      <c r="AI1" s="202"/>
    </row>
    <row r="2" spans="1:35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 t="s">
        <v>330</v>
      </c>
      <c r="M2" s="208"/>
      <c r="N2" s="202"/>
      <c r="O2" s="208"/>
      <c r="P2" s="202"/>
      <c r="Q2" s="208"/>
      <c r="R2" s="202"/>
      <c r="S2" s="208"/>
      <c r="T2" s="202"/>
      <c r="U2" s="208"/>
      <c r="W2" s="208"/>
      <c r="Y2" s="208"/>
      <c r="AA2" s="208"/>
      <c r="AC2" s="208"/>
      <c r="AE2" s="208"/>
      <c r="AG2" s="208"/>
      <c r="AI2" s="208"/>
    </row>
    <row r="3" spans="1:35" ht="15" customHeight="1" thickBot="1" x14ac:dyDescent="0.3">
      <c r="B3" s="426" t="s">
        <v>230</v>
      </c>
      <c r="D3" s="426" t="s">
        <v>230</v>
      </c>
      <c r="E3" s="197"/>
      <c r="F3" s="426" t="s">
        <v>230</v>
      </c>
      <c r="G3" s="202"/>
      <c r="H3" s="422" t="s">
        <v>279</v>
      </c>
      <c r="J3" s="355" t="s">
        <v>327</v>
      </c>
      <c r="K3" s="202"/>
      <c r="L3" s="355" t="s">
        <v>327</v>
      </c>
      <c r="N3" s="422" t="s">
        <v>231</v>
      </c>
      <c r="O3" s="202"/>
      <c r="P3" s="422" t="s">
        <v>231</v>
      </c>
      <c r="Q3" s="197"/>
      <c r="R3" s="422" t="s">
        <v>232</v>
      </c>
      <c r="T3" s="422" t="s">
        <v>232</v>
      </c>
      <c r="V3" s="422" t="s">
        <v>233</v>
      </c>
      <c r="W3" s="202"/>
      <c r="X3" s="426" t="s">
        <v>164</v>
      </c>
      <c r="Z3" s="426" t="s">
        <v>164</v>
      </c>
      <c r="AA3" s="202"/>
      <c r="AB3" s="422" t="s">
        <v>225</v>
      </c>
      <c r="AD3" s="422" t="s">
        <v>163</v>
      </c>
      <c r="AE3" s="202"/>
      <c r="AF3" s="426" t="s">
        <v>164</v>
      </c>
      <c r="AH3" s="448" t="s">
        <v>234</v>
      </c>
      <c r="AI3" s="202"/>
    </row>
    <row r="4" spans="1:35" x14ac:dyDescent="0.25">
      <c r="B4" s="423"/>
      <c r="C4" s="202" t="s">
        <v>165</v>
      </c>
      <c r="D4" s="423"/>
      <c r="E4" s="197"/>
      <c r="F4" s="423"/>
      <c r="G4" s="202" t="s">
        <v>165</v>
      </c>
      <c r="H4" s="416"/>
      <c r="J4" s="422" t="s">
        <v>326</v>
      </c>
      <c r="K4" s="202" t="s">
        <v>165</v>
      </c>
      <c r="L4" s="422" t="s">
        <v>326</v>
      </c>
      <c r="N4" s="416"/>
      <c r="O4" s="202" t="s">
        <v>165</v>
      </c>
      <c r="P4" s="416"/>
      <c r="Q4" s="197"/>
      <c r="R4" s="416"/>
      <c r="S4" s="202" t="s">
        <v>165</v>
      </c>
      <c r="T4" s="416"/>
      <c r="V4" s="416"/>
      <c r="W4" s="202" t="s">
        <v>165</v>
      </c>
      <c r="X4" s="423"/>
      <c r="Z4" s="423"/>
      <c r="AA4" s="202" t="s">
        <v>165</v>
      </c>
      <c r="AB4" s="416"/>
      <c r="AD4" s="416"/>
      <c r="AE4" s="202" t="s">
        <v>165</v>
      </c>
      <c r="AF4" s="423"/>
      <c r="AH4" s="449"/>
      <c r="AI4" s="202" t="s">
        <v>165</v>
      </c>
    </row>
    <row r="5" spans="1:35" x14ac:dyDescent="0.25">
      <c r="B5" s="423"/>
      <c r="D5" s="423"/>
      <c r="E5" s="197"/>
      <c r="F5" s="423"/>
      <c r="G5" s="202"/>
      <c r="H5" s="416"/>
      <c r="J5" s="416"/>
      <c r="K5" s="202"/>
      <c r="L5" s="416"/>
      <c r="N5" s="416"/>
      <c r="O5" s="202"/>
      <c r="P5" s="416"/>
      <c r="Q5" s="197"/>
      <c r="R5" s="416"/>
      <c r="T5" s="416"/>
      <c r="V5" s="416"/>
      <c r="W5" s="202"/>
      <c r="X5" s="423"/>
      <c r="Z5" s="423"/>
      <c r="AA5" s="202"/>
      <c r="AB5" s="416"/>
      <c r="AD5" s="416"/>
      <c r="AE5" s="202"/>
      <c r="AF5" s="423"/>
      <c r="AH5" s="449"/>
      <c r="AI5" s="202"/>
    </row>
    <row r="6" spans="1:35" x14ac:dyDescent="0.25">
      <c r="B6" s="423"/>
      <c r="C6" s="202" t="s">
        <v>166</v>
      </c>
      <c r="D6" s="423"/>
      <c r="E6" s="197"/>
      <c r="F6" s="423"/>
      <c r="G6" s="202" t="s">
        <v>166</v>
      </c>
      <c r="H6" s="416"/>
      <c r="J6" s="416"/>
      <c r="K6" s="202" t="s">
        <v>166</v>
      </c>
      <c r="L6" s="416"/>
      <c r="N6" s="416"/>
      <c r="O6" s="202" t="s">
        <v>166</v>
      </c>
      <c r="P6" s="416"/>
      <c r="Q6" s="197"/>
      <c r="R6" s="416"/>
      <c r="S6" s="202" t="s">
        <v>166</v>
      </c>
      <c r="T6" s="416"/>
      <c r="V6" s="416"/>
      <c r="W6" s="202" t="s">
        <v>166</v>
      </c>
      <c r="X6" s="423"/>
      <c r="Z6" s="423"/>
      <c r="AA6" s="202" t="s">
        <v>166</v>
      </c>
      <c r="AB6" s="416"/>
      <c r="AD6" s="416"/>
      <c r="AE6" s="202" t="s">
        <v>166</v>
      </c>
      <c r="AF6" s="423"/>
      <c r="AH6" s="449"/>
      <c r="AI6" s="202" t="s">
        <v>166</v>
      </c>
    </row>
    <row r="7" spans="1:35" x14ac:dyDescent="0.25">
      <c r="B7" s="423"/>
      <c r="D7" s="423"/>
      <c r="E7" s="197"/>
      <c r="F7" s="423"/>
      <c r="G7" s="202"/>
      <c r="H7" s="416"/>
      <c r="J7" s="416"/>
      <c r="K7" s="202"/>
      <c r="L7" s="416"/>
      <c r="N7" s="416"/>
      <c r="O7" s="202"/>
      <c r="P7" s="416"/>
      <c r="Q7" s="197"/>
      <c r="R7" s="416"/>
      <c r="T7" s="416"/>
      <c r="V7" s="416"/>
      <c r="W7" s="202"/>
      <c r="X7" s="423"/>
      <c r="Z7" s="423"/>
      <c r="AA7" s="202"/>
      <c r="AB7" s="416"/>
      <c r="AD7" s="416"/>
      <c r="AE7" s="202"/>
      <c r="AF7" s="423"/>
      <c r="AH7" s="449"/>
      <c r="AI7" s="202"/>
    </row>
    <row r="8" spans="1:35" x14ac:dyDescent="0.25">
      <c r="B8" s="423"/>
      <c r="C8" s="202" t="s">
        <v>167</v>
      </c>
      <c r="D8" s="423"/>
      <c r="E8" s="197"/>
      <c r="F8" s="423"/>
      <c r="G8" s="202" t="s">
        <v>167</v>
      </c>
      <c r="H8" s="416"/>
      <c r="J8" s="416"/>
      <c r="K8" s="202" t="s">
        <v>167</v>
      </c>
      <c r="L8" s="416"/>
      <c r="N8" s="416"/>
      <c r="O8" s="202" t="s">
        <v>167</v>
      </c>
      <c r="P8" s="416"/>
      <c r="Q8" s="197"/>
      <c r="R8" s="416"/>
      <c r="S8" s="202" t="s">
        <v>167</v>
      </c>
      <c r="T8" s="416"/>
      <c r="V8" s="416"/>
      <c r="W8" s="202" t="s">
        <v>167</v>
      </c>
      <c r="X8" s="423"/>
      <c r="Z8" s="423"/>
      <c r="AA8" s="202" t="s">
        <v>167</v>
      </c>
      <c r="AB8" s="416"/>
      <c r="AD8" s="416"/>
      <c r="AE8" s="202" t="s">
        <v>167</v>
      </c>
      <c r="AF8" s="423"/>
      <c r="AH8" s="449"/>
      <c r="AI8" s="202" t="s">
        <v>167</v>
      </c>
    </row>
    <row r="9" spans="1:35" x14ac:dyDescent="0.25">
      <c r="B9" s="423"/>
      <c r="D9" s="423"/>
      <c r="E9" s="197"/>
      <c r="F9" s="423"/>
      <c r="G9" s="202"/>
      <c r="H9" s="416"/>
      <c r="J9" s="416"/>
      <c r="K9" s="202"/>
      <c r="L9" s="416"/>
      <c r="N9" s="416"/>
      <c r="O9" s="202"/>
      <c r="P9" s="416"/>
      <c r="Q9" s="197"/>
      <c r="R9" s="416"/>
      <c r="T9" s="416"/>
      <c r="V9" s="416"/>
      <c r="W9" s="202"/>
      <c r="X9" s="423"/>
      <c r="Z9" s="423"/>
      <c r="AA9" s="202"/>
      <c r="AB9" s="416"/>
      <c r="AD9" s="416"/>
      <c r="AE9" s="202"/>
      <c r="AF9" s="423"/>
      <c r="AH9" s="449"/>
      <c r="AI9" s="202"/>
    </row>
    <row r="10" spans="1:35" ht="15.75" thickBot="1" x14ac:dyDescent="0.3">
      <c r="A10" s="206" t="s">
        <v>1</v>
      </c>
      <c r="B10" s="438"/>
      <c r="C10" s="202" t="s">
        <v>168</v>
      </c>
      <c r="D10" s="438"/>
      <c r="E10" s="206" t="s">
        <v>1</v>
      </c>
      <c r="F10" s="438"/>
      <c r="G10" s="202" t="s">
        <v>168</v>
      </c>
      <c r="H10" s="425"/>
      <c r="I10" s="206" t="s">
        <v>1</v>
      </c>
      <c r="J10" s="417"/>
      <c r="K10" s="202" t="s">
        <v>168</v>
      </c>
      <c r="L10" s="417"/>
      <c r="M10" s="206" t="s">
        <v>1</v>
      </c>
      <c r="N10" s="425"/>
      <c r="O10" s="202" t="s">
        <v>168</v>
      </c>
      <c r="P10" s="425"/>
      <c r="Q10" s="206" t="s">
        <v>1</v>
      </c>
      <c r="R10" s="425"/>
      <c r="S10" s="202" t="s">
        <v>168</v>
      </c>
      <c r="T10" s="425"/>
      <c r="U10" s="206" t="s">
        <v>1</v>
      </c>
      <c r="V10" s="425"/>
      <c r="W10" s="202" t="s">
        <v>168</v>
      </c>
      <c r="X10" s="423"/>
      <c r="Y10" s="206" t="s">
        <v>1</v>
      </c>
      <c r="Z10" s="423"/>
      <c r="AA10" s="202" t="s">
        <v>168</v>
      </c>
      <c r="AB10" s="416"/>
      <c r="AC10" s="206" t="s">
        <v>1</v>
      </c>
      <c r="AD10" s="416"/>
      <c r="AE10" s="202" t="s">
        <v>168</v>
      </c>
      <c r="AF10" s="423"/>
      <c r="AG10" s="206" t="s">
        <v>1</v>
      </c>
      <c r="AH10" s="450"/>
      <c r="AI10" s="202" t="s">
        <v>168</v>
      </c>
    </row>
    <row r="11" spans="1:35" ht="15" customHeight="1" x14ac:dyDescent="0.25">
      <c r="B11" s="432" t="s">
        <v>235</v>
      </c>
      <c r="D11" s="432" t="s">
        <v>235</v>
      </c>
      <c r="E11" s="197"/>
      <c r="F11" s="432" t="s">
        <v>235</v>
      </c>
      <c r="G11" s="202"/>
      <c r="H11" s="432" t="s">
        <v>235</v>
      </c>
      <c r="J11" s="423" t="s">
        <v>235</v>
      </c>
      <c r="K11" s="202"/>
      <c r="L11" s="423" t="s">
        <v>235</v>
      </c>
      <c r="N11" s="435" t="s">
        <v>236</v>
      </c>
      <c r="O11" s="202"/>
      <c r="P11" s="435" t="s">
        <v>236</v>
      </c>
      <c r="Q11" s="197"/>
      <c r="R11" s="432" t="s">
        <v>235</v>
      </c>
      <c r="T11" s="432" t="s">
        <v>235</v>
      </c>
      <c r="V11" s="435" t="s">
        <v>237</v>
      </c>
      <c r="W11" s="202"/>
      <c r="X11" s="423"/>
      <c r="Z11" s="423"/>
      <c r="AA11" s="202"/>
      <c r="AB11" s="416"/>
      <c r="AD11" s="416"/>
      <c r="AE11" s="202"/>
      <c r="AF11" s="423"/>
      <c r="AH11" s="448" t="s">
        <v>238</v>
      </c>
      <c r="AI11" s="202"/>
    </row>
    <row r="12" spans="1:35" x14ac:dyDescent="0.25">
      <c r="B12" s="423"/>
      <c r="C12" s="202" t="s">
        <v>169</v>
      </c>
      <c r="D12" s="423"/>
      <c r="E12" s="197"/>
      <c r="F12" s="423"/>
      <c r="G12" s="202" t="s">
        <v>169</v>
      </c>
      <c r="H12" s="423"/>
      <c r="J12" s="423"/>
      <c r="K12" s="202" t="s">
        <v>169</v>
      </c>
      <c r="L12" s="423"/>
      <c r="N12" s="416"/>
      <c r="O12" s="202" t="s">
        <v>169</v>
      </c>
      <c r="P12" s="416"/>
      <c r="Q12" s="197"/>
      <c r="R12" s="423"/>
      <c r="S12" s="202" t="s">
        <v>169</v>
      </c>
      <c r="T12" s="423"/>
      <c r="V12" s="416"/>
      <c r="W12" s="202" t="s">
        <v>169</v>
      </c>
      <c r="X12" s="423"/>
      <c r="Z12" s="423"/>
      <c r="AA12" s="202" t="s">
        <v>169</v>
      </c>
      <c r="AB12" s="416"/>
      <c r="AD12" s="416"/>
      <c r="AE12" s="202" t="s">
        <v>169</v>
      </c>
      <c r="AF12" s="423"/>
      <c r="AH12" s="449"/>
      <c r="AI12" s="202" t="s">
        <v>169</v>
      </c>
    </row>
    <row r="13" spans="1:35" x14ac:dyDescent="0.25">
      <c r="B13" s="423"/>
      <c r="D13" s="423"/>
      <c r="E13" s="197"/>
      <c r="F13" s="423"/>
      <c r="G13" s="202"/>
      <c r="H13" s="423"/>
      <c r="J13" s="423"/>
      <c r="K13" s="202"/>
      <c r="L13" s="423"/>
      <c r="N13" s="416"/>
      <c r="O13" s="202"/>
      <c r="P13" s="416"/>
      <c r="Q13" s="197"/>
      <c r="R13" s="423"/>
      <c r="T13" s="423"/>
      <c r="V13" s="416"/>
      <c r="W13" s="202"/>
      <c r="X13" s="423"/>
      <c r="Z13" s="423"/>
      <c r="AA13" s="202"/>
      <c r="AB13" s="416"/>
      <c r="AD13" s="416"/>
      <c r="AE13" s="202"/>
      <c r="AF13" s="423"/>
      <c r="AH13" s="449"/>
      <c r="AI13" s="202"/>
    </row>
    <row r="14" spans="1:35" ht="15.75" thickBot="1" x14ac:dyDescent="0.3">
      <c r="B14" s="423"/>
      <c r="C14" s="202" t="s">
        <v>170</v>
      </c>
      <c r="D14" s="423"/>
      <c r="E14" s="197"/>
      <c r="F14" s="423"/>
      <c r="G14" s="202" t="s">
        <v>170</v>
      </c>
      <c r="H14" s="423"/>
      <c r="J14" s="423"/>
      <c r="K14" s="202" t="s">
        <v>170</v>
      </c>
      <c r="L14" s="423"/>
      <c r="N14" s="416"/>
      <c r="O14" s="202" t="s">
        <v>170</v>
      </c>
      <c r="P14" s="416"/>
      <c r="Q14" s="197"/>
      <c r="R14" s="423"/>
      <c r="S14" s="202" t="s">
        <v>170</v>
      </c>
      <c r="T14" s="423"/>
      <c r="V14" s="416"/>
      <c r="W14" s="202" t="s">
        <v>170</v>
      </c>
      <c r="X14" s="423"/>
      <c r="Z14" s="423"/>
      <c r="AA14" s="202" t="s">
        <v>170</v>
      </c>
      <c r="AB14" s="416"/>
      <c r="AD14" s="416"/>
      <c r="AE14" s="202" t="s">
        <v>170</v>
      </c>
      <c r="AF14" s="423"/>
      <c r="AH14" s="450"/>
      <c r="AI14" s="202" t="s">
        <v>170</v>
      </c>
    </row>
    <row r="15" spans="1:35" x14ac:dyDescent="0.25">
      <c r="B15" s="423"/>
      <c r="D15" s="423"/>
      <c r="E15" s="197"/>
      <c r="F15" s="423"/>
      <c r="G15" s="202"/>
      <c r="H15" s="423"/>
      <c r="J15" s="423"/>
      <c r="K15" s="202"/>
      <c r="L15" s="423"/>
      <c r="N15" s="416"/>
      <c r="O15" s="202"/>
      <c r="P15" s="416"/>
      <c r="Q15" s="197"/>
      <c r="R15" s="423"/>
      <c r="T15" s="423"/>
      <c r="V15" s="416"/>
      <c r="W15" s="202"/>
      <c r="X15" s="423"/>
      <c r="Z15" s="423"/>
      <c r="AA15" s="202"/>
      <c r="AB15" s="416"/>
      <c r="AD15" s="416"/>
      <c r="AE15" s="202"/>
      <c r="AF15" s="423"/>
      <c r="AH15" s="451" t="s">
        <v>239</v>
      </c>
      <c r="AI15" s="202"/>
    </row>
    <row r="16" spans="1:35" x14ac:dyDescent="0.25">
      <c r="B16" s="423"/>
      <c r="C16" s="202" t="s">
        <v>171</v>
      </c>
      <c r="D16" s="423"/>
      <c r="E16" s="197"/>
      <c r="F16" s="423"/>
      <c r="G16" s="202" t="s">
        <v>171</v>
      </c>
      <c r="H16" s="423"/>
      <c r="J16" s="423"/>
      <c r="K16" s="202" t="s">
        <v>171</v>
      </c>
      <c r="L16" s="423"/>
      <c r="N16" s="416"/>
      <c r="O16" s="202" t="s">
        <v>171</v>
      </c>
      <c r="P16" s="416"/>
      <c r="Q16" s="197"/>
      <c r="R16" s="423"/>
      <c r="S16" s="202" t="s">
        <v>171</v>
      </c>
      <c r="T16" s="423"/>
      <c r="V16" s="416"/>
      <c r="W16" s="202" t="s">
        <v>171</v>
      </c>
      <c r="X16" s="423"/>
      <c r="Z16" s="423"/>
      <c r="AA16" s="202" t="s">
        <v>171</v>
      </c>
      <c r="AB16" s="416"/>
      <c r="AD16" s="416"/>
      <c r="AE16" s="202" t="s">
        <v>171</v>
      </c>
      <c r="AF16" s="423"/>
      <c r="AH16" s="449"/>
      <c r="AI16" s="202" t="s">
        <v>171</v>
      </c>
    </row>
    <row r="17" spans="1:35" x14ac:dyDescent="0.25">
      <c r="B17" s="423"/>
      <c r="D17" s="423"/>
      <c r="E17" s="197"/>
      <c r="F17" s="423"/>
      <c r="G17" s="202"/>
      <c r="H17" s="423"/>
      <c r="J17" s="423"/>
      <c r="K17" s="202"/>
      <c r="L17" s="423"/>
      <c r="N17" s="416"/>
      <c r="O17" s="202"/>
      <c r="P17" s="416"/>
      <c r="Q17" s="197"/>
      <c r="R17" s="423"/>
      <c r="T17" s="423"/>
      <c r="V17" s="416"/>
      <c r="W17" s="202"/>
      <c r="X17" s="423"/>
      <c r="Z17" s="423"/>
      <c r="AA17" s="202"/>
      <c r="AB17" s="416"/>
      <c r="AD17" s="416"/>
      <c r="AE17" s="202"/>
      <c r="AF17" s="423"/>
      <c r="AH17" s="449"/>
      <c r="AI17" s="202"/>
    </row>
    <row r="18" spans="1:35" ht="15.75" thickBot="1" x14ac:dyDescent="0.3">
      <c r="A18" s="205" t="s">
        <v>33</v>
      </c>
      <c r="B18" s="424"/>
      <c r="C18" s="208" t="s">
        <v>172</v>
      </c>
      <c r="D18" s="424"/>
      <c r="E18" s="205" t="s">
        <v>33</v>
      </c>
      <c r="F18" s="424"/>
      <c r="G18" s="208" t="s">
        <v>172</v>
      </c>
      <c r="H18" s="424"/>
      <c r="I18" s="205" t="s">
        <v>33</v>
      </c>
      <c r="J18" s="424"/>
      <c r="K18" s="208" t="s">
        <v>172</v>
      </c>
      <c r="L18" s="424"/>
      <c r="M18" s="205" t="s">
        <v>33</v>
      </c>
      <c r="N18" s="417"/>
      <c r="O18" s="208" t="s">
        <v>172</v>
      </c>
      <c r="P18" s="417"/>
      <c r="Q18" s="205" t="s">
        <v>33</v>
      </c>
      <c r="R18" s="424"/>
      <c r="S18" s="208" t="s">
        <v>172</v>
      </c>
      <c r="T18" s="424"/>
      <c r="U18" s="209" t="s">
        <v>33</v>
      </c>
      <c r="V18" s="417"/>
      <c r="W18" s="208" t="s">
        <v>172</v>
      </c>
      <c r="X18" s="423"/>
      <c r="Y18" s="209" t="s">
        <v>33</v>
      </c>
      <c r="Z18" s="423"/>
      <c r="AA18" s="208" t="s">
        <v>172</v>
      </c>
      <c r="AB18" s="416"/>
      <c r="AC18" s="209" t="s">
        <v>33</v>
      </c>
      <c r="AD18" s="416"/>
      <c r="AE18" s="208" t="s">
        <v>172</v>
      </c>
      <c r="AF18" s="423"/>
      <c r="AG18" s="209" t="s">
        <v>33</v>
      </c>
      <c r="AH18" s="450"/>
      <c r="AI18" s="208" t="s">
        <v>172</v>
      </c>
    </row>
    <row r="19" spans="1:35" ht="15" customHeight="1" thickBot="1" x14ac:dyDescent="0.3">
      <c r="B19" s="429" t="s">
        <v>240</v>
      </c>
      <c r="D19" s="198"/>
      <c r="E19" s="197"/>
      <c r="F19" s="429" t="s">
        <v>240</v>
      </c>
      <c r="G19" s="202"/>
      <c r="H19" s="422" t="s">
        <v>280</v>
      </c>
      <c r="J19" s="356"/>
      <c r="K19" s="202"/>
      <c r="L19" s="198"/>
      <c r="N19" s="415" t="s">
        <v>173</v>
      </c>
      <c r="O19" s="202"/>
      <c r="P19" s="415" t="s">
        <v>173</v>
      </c>
      <c r="Q19" s="197"/>
      <c r="R19" s="198"/>
      <c r="T19" s="198"/>
      <c r="V19" s="415" t="s">
        <v>241</v>
      </c>
      <c r="W19" s="202"/>
      <c r="X19" s="423"/>
      <c r="Z19" s="423"/>
      <c r="AA19" s="202"/>
      <c r="AB19" s="416"/>
      <c r="AD19" s="416"/>
      <c r="AE19" s="202"/>
      <c r="AF19" s="423"/>
      <c r="AH19" s="451" t="s">
        <v>242</v>
      </c>
      <c r="AI19" s="202"/>
    </row>
    <row r="20" spans="1:35" ht="15.75" thickBot="1" x14ac:dyDescent="0.3">
      <c r="B20" s="430"/>
      <c r="C20" s="202" t="s">
        <v>175</v>
      </c>
      <c r="D20" s="198"/>
      <c r="E20" s="197"/>
      <c r="F20" s="430"/>
      <c r="G20" s="202" t="s">
        <v>175</v>
      </c>
      <c r="H20" s="416"/>
      <c r="J20" s="203" t="s">
        <v>325</v>
      </c>
      <c r="K20" s="202" t="s">
        <v>175</v>
      </c>
      <c r="L20" s="198"/>
      <c r="N20" s="416"/>
      <c r="O20" s="202" t="s">
        <v>175</v>
      </c>
      <c r="P20" s="416"/>
      <c r="Q20" s="197"/>
      <c r="R20" s="198"/>
      <c r="S20" s="202" t="s">
        <v>175</v>
      </c>
      <c r="T20" s="198"/>
      <c r="V20" s="416"/>
      <c r="W20" s="202" t="s">
        <v>175</v>
      </c>
      <c r="X20" s="423"/>
      <c r="Z20" s="423"/>
      <c r="AA20" s="202" t="s">
        <v>175</v>
      </c>
      <c r="AB20" s="416"/>
      <c r="AD20" s="416"/>
      <c r="AE20" s="202" t="s">
        <v>175</v>
      </c>
      <c r="AF20" s="423"/>
      <c r="AH20" s="449"/>
      <c r="AI20" s="202" t="s">
        <v>175</v>
      </c>
    </row>
    <row r="21" spans="1:35" x14ac:dyDescent="0.25">
      <c r="B21" s="430"/>
      <c r="D21" s="198"/>
      <c r="E21" s="197"/>
      <c r="F21" s="430"/>
      <c r="G21" s="202"/>
      <c r="H21" s="416"/>
      <c r="J21" s="422" t="s">
        <v>328</v>
      </c>
      <c r="K21" s="202"/>
      <c r="L21" s="422" t="s">
        <v>328</v>
      </c>
      <c r="N21" s="416"/>
      <c r="O21" s="202"/>
      <c r="P21" s="416"/>
      <c r="Q21" s="197"/>
      <c r="R21" s="198"/>
      <c r="T21" s="198"/>
      <c r="V21" s="416"/>
      <c r="W21" s="202"/>
      <c r="X21" s="423"/>
      <c r="Z21" s="423"/>
      <c r="AA21" s="202"/>
      <c r="AB21" s="416"/>
      <c r="AD21" s="416"/>
      <c r="AE21" s="202"/>
      <c r="AF21" s="423"/>
      <c r="AH21" s="449"/>
      <c r="AI21" s="202"/>
    </row>
    <row r="22" spans="1:35" x14ac:dyDescent="0.25">
      <c r="A22" s="197" t="s">
        <v>8</v>
      </c>
      <c r="B22" s="430"/>
      <c r="C22" s="202" t="s">
        <v>176</v>
      </c>
      <c r="D22" s="199"/>
      <c r="E22" s="197" t="s">
        <v>8</v>
      </c>
      <c r="F22" s="430"/>
      <c r="G22" s="202" t="s">
        <v>176</v>
      </c>
      <c r="H22" s="416"/>
      <c r="I22" s="197" t="s">
        <v>8</v>
      </c>
      <c r="J22" s="416"/>
      <c r="K22" s="202" t="s">
        <v>176</v>
      </c>
      <c r="L22" s="416"/>
      <c r="M22" s="197" t="s">
        <v>8</v>
      </c>
      <c r="N22" s="416"/>
      <c r="O22" s="202" t="s">
        <v>176</v>
      </c>
      <c r="P22" s="416"/>
      <c r="Q22" s="197" t="s">
        <v>8</v>
      </c>
      <c r="R22" s="199"/>
      <c r="S22" s="202" t="s">
        <v>176</v>
      </c>
      <c r="T22" s="199"/>
      <c r="U22" s="197" t="s">
        <v>8</v>
      </c>
      <c r="V22" s="416"/>
      <c r="W22" s="202" t="s">
        <v>176</v>
      </c>
      <c r="X22" s="423"/>
      <c r="Y22" s="197" t="s">
        <v>8</v>
      </c>
      <c r="Z22" s="423"/>
      <c r="AA22" s="202" t="s">
        <v>176</v>
      </c>
      <c r="AB22" s="416"/>
      <c r="AC22" s="197" t="s">
        <v>8</v>
      </c>
      <c r="AD22" s="416"/>
      <c r="AE22" s="202" t="s">
        <v>176</v>
      </c>
      <c r="AF22" s="423"/>
      <c r="AG22" s="197" t="s">
        <v>8</v>
      </c>
      <c r="AH22" s="449"/>
      <c r="AI22" s="202" t="s">
        <v>176</v>
      </c>
    </row>
    <row r="23" spans="1:35" x14ac:dyDescent="0.25">
      <c r="B23" s="430"/>
      <c r="D23" s="198"/>
      <c r="E23" s="197"/>
      <c r="F23" s="430"/>
      <c r="G23" s="202"/>
      <c r="H23" s="416"/>
      <c r="J23" s="416"/>
      <c r="K23" s="202"/>
      <c r="L23" s="416"/>
      <c r="N23" s="416" t="s">
        <v>174</v>
      </c>
      <c r="O23" s="202"/>
      <c r="P23" s="416" t="s">
        <v>174</v>
      </c>
      <c r="Q23" s="197"/>
      <c r="R23" s="198"/>
      <c r="T23" s="198"/>
      <c r="V23" s="416"/>
      <c r="W23" s="202"/>
      <c r="X23" s="423"/>
      <c r="Z23" s="423"/>
      <c r="AA23" s="202"/>
      <c r="AB23" s="416"/>
      <c r="AD23" s="416"/>
      <c r="AE23" s="202"/>
      <c r="AF23" s="423"/>
      <c r="AH23" s="449"/>
      <c r="AI23" s="202"/>
    </row>
    <row r="24" spans="1:35" x14ac:dyDescent="0.25">
      <c r="B24" s="430"/>
      <c r="C24" s="202" t="s">
        <v>177</v>
      </c>
      <c r="D24" s="198"/>
      <c r="E24" s="197"/>
      <c r="F24" s="430"/>
      <c r="G24" s="202" t="s">
        <v>177</v>
      </c>
      <c r="H24" s="416"/>
      <c r="J24" s="416"/>
      <c r="K24" s="202" t="s">
        <v>177</v>
      </c>
      <c r="L24" s="416"/>
      <c r="N24" s="416"/>
      <c r="O24" s="202" t="s">
        <v>177</v>
      </c>
      <c r="P24" s="416"/>
      <c r="Q24" s="197"/>
      <c r="R24" s="198"/>
      <c r="S24" s="202" t="s">
        <v>177</v>
      </c>
      <c r="T24" s="198"/>
      <c r="V24" s="416"/>
      <c r="W24" s="202" t="s">
        <v>177</v>
      </c>
      <c r="X24" s="423"/>
      <c r="Z24" s="423"/>
      <c r="AA24" s="202" t="s">
        <v>177</v>
      </c>
      <c r="AB24" s="416"/>
      <c r="AD24" s="416"/>
      <c r="AE24" s="202" t="s">
        <v>177</v>
      </c>
      <c r="AF24" s="423"/>
      <c r="AH24" s="449"/>
      <c r="AI24" s="202" t="s">
        <v>177</v>
      </c>
    </row>
    <row r="25" spans="1:35" x14ac:dyDescent="0.25">
      <c r="B25" s="430"/>
      <c r="D25" s="198"/>
      <c r="E25" s="197"/>
      <c r="F25" s="430"/>
      <c r="G25" s="202"/>
      <c r="H25" s="416"/>
      <c r="J25" s="416"/>
      <c r="K25" s="202"/>
      <c r="L25" s="416"/>
      <c r="N25" s="416"/>
      <c r="O25" s="202"/>
      <c r="P25" s="416"/>
      <c r="Q25" s="197"/>
      <c r="R25" s="198"/>
      <c r="T25" s="198"/>
      <c r="V25" s="416"/>
      <c r="W25" s="202"/>
      <c r="X25" s="423"/>
      <c r="Z25" s="423"/>
      <c r="AA25" s="202"/>
      <c r="AB25" s="416"/>
      <c r="AD25" s="416"/>
      <c r="AE25" s="202"/>
      <c r="AF25" s="423"/>
      <c r="AH25" s="449"/>
      <c r="AI25" s="202"/>
    </row>
    <row r="26" spans="1:35" ht="15.75" thickBot="1" x14ac:dyDescent="0.3">
      <c r="A26" s="206" t="s">
        <v>1</v>
      </c>
      <c r="B26" s="431"/>
      <c r="C26" s="202" t="s">
        <v>178</v>
      </c>
      <c r="D26" s="199"/>
      <c r="E26" s="206" t="s">
        <v>1</v>
      </c>
      <c r="F26" s="431"/>
      <c r="G26" s="202" t="s">
        <v>178</v>
      </c>
      <c r="H26" s="417"/>
      <c r="I26" s="206" t="s">
        <v>1</v>
      </c>
      <c r="J26" s="417"/>
      <c r="K26" s="202" t="s">
        <v>178</v>
      </c>
      <c r="L26" s="417"/>
      <c r="M26" s="206" t="s">
        <v>1</v>
      </c>
      <c r="N26" s="417"/>
      <c r="O26" s="202" t="s">
        <v>178</v>
      </c>
      <c r="P26" s="417"/>
      <c r="Q26" s="206" t="s">
        <v>1</v>
      </c>
      <c r="R26" s="199"/>
      <c r="S26" s="202" t="s">
        <v>178</v>
      </c>
      <c r="T26" s="199"/>
      <c r="U26" s="206" t="s">
        <v>1</v>
      </c>
      <c r="V26" s="417"/>
      <c r="W26" s="202" t="s">
        <v>178</v>
      </c>
      <c r="X26" s="423"/>
      <c r="Y26" s="206" t="s">
        <v>1</v>
      </c>
      <c r="Z26" s="423"/>
      <c r="AA26" s="202" t="s">
        <v>178</v>
      </c>
      <c r="AB26" s="416"/>
      <c r="AC26" s="206" t="s">
        <v>1</v>
      </c>
      <c r="AD26" s="416"/>
      <c r="AE26" s="202" t="s">
        <v>178</v>
      </c>
      <c r="AF26" s="423"/>
      <c r="AG26" s="206" t="s">
        <v>1</v>
      </c>
      <c r="AH26" s="450"/>
      <c r="AI26" s="202" t="s">
        <v>178</v>
      </c>
    </row>
    <row r="27" spans="1:35" ht="15" customHeight="1" x14ac:dyDescent="0.25">
      <c r="B27" s="433" t="s">
        <v>243</v>
      </c>
      <c r="D27" s="198"/>
      <c r="E27" s="197"/>
      <c r="F27" s="433" t="s">
        <v>243</v>
      </c>
      <c r="G27" s="202"/>
      <c r="H27" s="415" t="s">
        <v>179</v>
      </c>
      <c r="J27" s="415" t="s">
        <v>324</v>
      </c>
      <c r="K27" s="202"/>
      <c r="L27" s="415" t="s">
        <v>324</v>
      </c>
      <c r="N27" s="415" t="s">
        <v>179</v>
      </c>
      <c r="O27" s="202"/>
      <c r="P27" s="415" t="s">
        <v>244</v>
      </c>
      <c r="Q27" s="197"/>
      <c r="R27" s="433" t="s">
        <v>243</v>
      </c>
      <c r="T27" s="433" t="s">
        <v>243</v>
      </c>
      <c r="V27" s="422" t="s">
        <v>245</v>
      </c>
      <c r="W27" s="202"/>
      <c r="X27" s="423"/>
      <c r="Z27" s="423"/>
      <c r="AA27" s="202"/>
      <c r="AB27" s="416"/>
      <c r="AD27" s="416"/>
      <c r="AE27" s="202"/>
      <c r="AF27" s="423"/>
      <c r="AH27" s="451" t="s">
        <v>246</v>
      </c>
      <c r="AI27" s="202"/>
    </row>
    <row r="28" spans="1:35" x14ac:dyDescent="0.25">
      <c r="B28" s="430"/>
      <c r="C28" s="202" t="s">
        <v>180</v>
      </c>
      <c r="D28" s="198"/>
      <c r="E28" s="197"/>
      <c r="F28" s="430"/>
      <c r="G28" s="202" t="s">
        <v>180</v>
      </c>
      <c r="H28" s="416"/>
      <c r="J28" s="416"/>
      <c r="K28" s="202" t="s">
        <v>180</v>
      </c>
      <c r="L28" s="416"/>
      <c r="N28" s="416"/>
      <c r="O28" s="202" t="s">
        <v>180</v>
      </c>
      <c r="P28" s="416"/>
      <c r="Q28" s="197"/>
      <c r="R28" s="436"/>
      <c r="S28" s="202" t="s">
        <v>180</v>
      </c>
      <c r="T28" s="436"/>
      <c r="V28" s="416"/>
      <c r="W28" s="202" t="s">
        <v>180</v>
      </c>
      <c r="X28" s="423"/>
      <c r="Z28" s="423"/>
      <c r="AA28" s="202" t="s">
        <v>180</v>
      </c>
      <c r="AB28" s="416"/>
      <c r="AD28" s="416"/>
      <c r="AE28" s="202" t="s">
        <v>180</v>
      </c>
      <c r="AF28" s="423"/>
      <c r="AH28" s="449"/>
      <c r="AI28" s="202" t="s">
        <v>180</v>
      </c>
    </row>
    <row r="29" spans="1:35" x14ac:dyDescent="0.25">
      <c r="B29" s="430"/>
      <c r="D29" s="198"/>
      <c r="E29" s="197"/>
      <c r="F29" s="430"/>
      <c r="G29" s="202"/>
      <c r="H29" s="416"/>
      <c r="J29" s="416"/>
      <c r="K29" s="202"/>
      <c r="L29" s="416"/>
      <c r="N29" s="416"/>
      <c r="O29" s="202"/>
      <c r="P29" s="416"/>
      <c r="Q29" s="197"/>
      <c r="R29" s="436"/>
      <c r="T29" s="436"/>
      <c r="V29" s="416"/>
      <c r="W29" s="202"/>
      <c r="X29" s="423"/>
      <c r="Z29" s="423"/>
      <c r="AA29" s="202"/>
      <c r="AB29" s="416"/>
      <c r="AD29" s="416"/>
      <c r="AE29" s="202"/>
      <c r="AF29" s="423"/>
      <c r="AH29" s="449"/>
      <c r="AI29" s="202"/>
    </row>
    <row r="30" spans="1:35" x14ac:dyDescent="0.25">
      <c r="A30" s="197" t="s">
        <v>8</v>
      </c>
      <c r="B30" s="430"/>
      <c r="C30" s="202" t="s">
        <v>181</v>
      </c>
      <c r="D30" s="199"/>
      <c r="E30" s="197" t="s">
        <v>8</v>
      </c>
      <c r="F30" s="430"/>
      <c r="G30" s="202" t="s">
        <v>181</v>
      </c>
      <c r="H30" s="416"/>
      <c r="I30" s="197" t="s">
        <v>8</v>
      </c>
      <c r="J30" s="416"/>
      <c r="K30" s="202" t="s">
        <v>181</v>
      </c>
      <c r="L30" s="416"/>
      <c r="M30" s="197" t="s">
        <v>8</v>
      </c>
      <c r="N30" s="416"/>
      <c r="O30" s="202" t="s">
        <v>181</v>
      </c>
      <c r="P30" s="416"/>
      <c r="Q30" s="197" t="s">
        <v>8</v>
      </c>
      <c r="R30" s="436"/>
      <c r="S30" s="202" t="s">
        <v>181</v>
      </c>
      <c r="T30" s="436"/>
      <c r="U30" s="197" t="s">
        <v>8</v>
      </c>
      <c r="V30" s="416"/>
      <c r="W30" s="202" t="s">
        <v>181</v>
      </c>
      <c r="X30" s="423"/>
      <c r="Y30" s="197" t="s">
        <v>8</v>
      </c>
      <c r="Z30" s="423"/>
      <c r="AA30" s="202" t="s">
        <v>181</v>
      </c>
      <c r="AB30" s="416"/>
      <c r="AC30" s="197" t="s">
        <v>8</v>
      </c>
      <c r="AD30" s="416"/>
      <c r="AE30" s="202" t="s">
        <v>181</v>
      </c>
      <c r="AF30" s="423"/>
      <c r="AG30" s="197" t="s">
        <v>8</v>
      </c>
      <c r="AH30" s="449"/>
      <c r="AI30" s="202" t="s">
        <v>181</v>
      </c>
    </row>
    <row r="31" spans="1:35" x14ac:dyDescent="0.25">
      <c r="B31" s="430"/>
      <c r="D31" s="198"/>
      <c r="E31" s="197"/>
      <c r="F31" s="430"/>
      <c r="G31" s="202"/>
      <c r="H31" s="416"/>
      <c r="J31" s="416"/>
      <c r="K31" s="202"/>
      <c r="L31" s="416"/>
      <c r="N31" s="416"/>
      <c r="O31" s="202"/>
      <c r="P31" s="416"/>
      <c r="Q31" s="197"/>
      <c r="R31" s="436"/>
      <c r="T31" s="436"/>
      <c r="V31" s="416"/>
      <c r="W31" s="202"/>
      <c r="X31" s="423"/>
      <c r="Z31" s="423"/>
      <c r="AA31" s="202"/>
      <c r="AB31" s="416"/>
      <c r="AD31" s="416"/>
      <c r="AE31" s="202"/>
      <c r="AF31" s="423"/>
      <c r="AH31" s="449"/>
      <c r="AI31" s="202"/>
    </row>
    <row r="32" spans="1:35" ht="15.75" thickBot="1" x14ac:dyDescent="0.3">
      <c r="B32" s="430"/>
      <c r="C32" s="202" t="s">
        <v>182</v>
      </c>
      <c r="D32" s="198"/>
      <c r="E32" s="197"/>
      <c r="F32" s="430"/>
      <c r="G32" s="202" t="s">
        <v>182</v>
      </c>
      <c r="H32" s="416"/>
      <c r="J32" s="417"/>
      <c r="K32" s="202" t="s">
        <v>182</v>
      </c>
      <c r="L32" s="417"/>
      <c r="N32" s="416"/>
      <c r="O32" s="202" t="s">
        <v>182</v>
      </c>
      <c r="P32" s="416"/>
      <c r="Q32" s="197"/>
      <c r="R32" s="436"/>
      <c r="S32" s="202" t="s">
        <v>182</v>
      </c>
      <c r="T32" s="436"/>
      <c r="V32" s="416"/>
      <c r="W32" s="202" t="s">
        <v>182</v>
      </c>
      <c r="X32" s="423"/>
      <c r="Z32" s="423"/>
      <c r="AA32" s="202" t="s">
        <v>182</v>
      </c>
      <c r="AB32" s="416"/>
      <c r="AD32" s="416"/>
      <c r="AE32" s="202" t="s">
        <v>182</v>
      </c>
      <c r="AF32" s="423"/>
      <c r="AH32" s="449"/>
      <c r="AI32" s="202" t="s">
        <v>182</v>
      </c>
    </row>
    <row r="33" spans="1:35" x14ac:dyDescent="0.25">
      <c r="B33" s="430"/>
      <c r="D33" s="198"/>
      <c r="E33" s="197"/>
      <c r="F33" s="430"/>
      <c r="G33" s="202"/>
      <c r="H33" s="416"/>
      <c r="J33" s="422" t="s">
        <v>323</v>
      </c>
      <c r="K33" s="202"/>
      <c r="L33" s="422" t="s">
        <v>323</v>
      </c>
      <c r="N33" s="416"/>
      <c r="O33" s="202"/>
      <c r="P33" s="416"/>
      <c r="Q33" s="197"/>
      <c r="R33" s="436"/>
      <c r="T33" s="436"/>
      <c r="V33" s="416"/>
      <c r="W33" s="202"/>
      <c r="X33" s="423"/>
      <c r="Z33" s="423"/>
      <c r="AA33" s="202"/>
      <c r="AB33" s="416"/>
      <c r="AD33" s="416"/>
      <c r="AE33" s="202"/>
      <c r="AF33" s="423"/>
      <c r="AH33" s="449"/>
      <c r="AI33" s="202"/>
    </row>
    <row r="34" spans="1:35" ht="15.75" thickBot="1" x14ac:dyDescent="0.3">
      <c r="A34" s="205" t="s">
        <v>0</v>
      </c>
      <c r="B34" s="434"/>
      <c r="C34" s="208" t="s">
        <v>183</v>
      </c>
      <c r="D34" s="199"/>
      <c r="E34" s="205" t="s">
        <v>0</v>
      </c>
      <c r="F34" s="434"/>
      <c r="G34" s="208" t="s">
        <v>183</v>
      </c>
      <c r="H34" s="417"/>
      <c r="I34" s="205" t="s">
        <v>0</v>
      </c>
      <c r="J34" s="417"/>
      <c r="K34" s="208" t="s">
        <v>183</v>
      </c>
      <c r="L34" s="417"/>
      <c r="M34" s="205" t="s">
        <v>0</v>
      </c>
      <c r="N34" s="417"/>
      <c r="O34" s="208" t="s">
        <v>183</v>
      </c>
      <c r="P34" s="417"/>
      <c r="Q34" s="205" t="s">
        <v>0</v>
      </c>
      <c r="R34" s="437"/>
      <c r="S34" s="208" t="s">
        <v>183</v>
      </c>
      <c r="T34" s="437"/>
      <c r="U34" s="209" t="s">
        <v>0</v>
      </c>
      <c r="V34" s="425"/>
      <c r="W34" s="208" t="s">
        <v>183</v>
      </c>
      <c r="X34" s="423"/>
      <c r="Y34" s="209" t="s">
        <v>0</v>
      </c>
      <c r="Z34" s="423"/>
      <c r="AA34" s="208" t="s">
        <v>183</v>
      </c>
      <c r="AB34" s="417"/>
      <c r="AC34" s="209" t="s">
        <v>0</v>
      </c>
      <c r="AD34" s="417"/>
      <c r="AE34" s="208" t="s">
        <v>183</v>
      </c>
      <c r="AF34" s="423"/>
      <c r="AG34" s="209" t="s">
        <v>0</v>
      </c>
      <c r="AH34" s="449"/>
      <c r="AI34" s="208" t="s">
        <v>183</v>
      </c>
    </row>
    <row r="35" spans="1:35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204" t="s">
        <v>184</v>
      </c>
      <c r="N35" s="198"/>
      <c r="O35" s="202"/>
      <c r="P35" s="415" t="s">
        <v>179</v>
      </c>
      <c r="Q35" s="197"/>
      <c r="R35" s="415" t="s">
        <v>173</v>
      </c>
      <c r="T35" s="415" t="s">
        <v>173</v>
      </c>
      <c r="V35" s="204" t="s">
        <v>184</v>
      </c>
      <c r="W35" s="202"/>
      <c r="X35" s="418" t="s">
        <v>247</v>
      </c>
      <c r="Z35" s="268" t="s">
        <v>248</v>
      </c>
      <c r="AA35" s="202"/>
      <c r="AB35" s="415" t="s">
        <v>173</v>
      </c>
      <c r="AD35" s="415" t="s">
        <v>179</v>
      </c>
      <c r="AE35" s="202"/>
      <c r="AF35" s="268" t="s">
        <v>276</v>
      </c>
      <c r="AH35" s="449"/>
      <c r="AI35" s="202"/>
    </row>
    <row r="36" spans="1:35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204" t="s">
        <v>185</v>
      </c>
      <c r="N36" s="198"/>
      <c r="O36" s="202" t="s">
        <v>186</v>
      </c>
      <c r="P36" s="416"/>
      <c r="Q36" s="197"/>
      <c r="R36" s="416"/>
      <c r="S36" s="202" t="s">
        <v>186</v>
      </c>
      <c r="T36" s="416"/>
      <c r="V36" s="204" t="s">
        <v>185</v>
      </c>
      <c r="W36" s="202" t="s">
        <v>186</v>
      </c>
      <c r="X36" s="419"/>
      <c r="Z36" s="268" t="s">
        <v>248</v>
      </c>
      <c r="AA36" s="202" t="s">
        <v>186</v>
      </c>
      <c r="AB36" s="416"/>
      <c r="AD36" s="416"/>
      <c r="AE36" s="202" t="s">
        <v>186</v>
      </c>
      <c r="AF36" s="268" t="s">
        <v>276</v>
      </c>
      <c r="AH36" s="449"/>
      <c r="AI36" s="202" t="s">
        <v>186</v>
      </c>
    </row>
    <row r="37" spans="1:35" ht="15" customHeight="1" thickBot="1" x14ac:dyDescent="0.3">
      <c r="B37" s="427" t="s">
        <v>187</v>
      </c>
      <c r="D37" s="198"/>
      <c r="E37" s="197"/>
      <c r="F37" s="198"/>
      <c r="G37" s="202"/>
      <c r="H37" s="198"/>
      <c r="J37" s="198"/>
      <c r="K37" s="202"/>
      <c r="L37" s="198"/>
      <c r="N37" s="198"/>
      <c r="O37" s="202"/>
      <c r="P37" s="416"/>
      <c r="Q37" s="197"/>
      <c r="R37" s="416"/>
      <c r="T37" s="416"/>
      <c r="V37" s="265" t="s">
        <v>249</v>
      </c>
      <c r="W37" s="202"/>
      <c r="X37" s="418" t="s">
        <v>247</v>
      </c>
      <c r="Z37" s="268" t="s">
        <v>248</v>
      </c>
      <c r="AA37" s="202"/>
      <c r="AB37" s="416"/>
      <c r="AD37" s="416"/>
      <c r="AE37" s="202"/>
      <c r="AF37" s="268" t="s">
        <v>276</v>
      </c>
      <c r="AH37" s="449"/>
      <c r="AI37" s="202"/>
    </row>
    <row r="38" spans="1:35" ht="15.75" thickBot="1" x14ac:dyDescent="0.3">
      <c r="A38" s="197" t="s">
        <v>8</v>
      </c>
      <c r="B38" s="428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199"/>
      <c r="M38" s="197" t="s">
        <v>8</v>
      </c>
      <c r="N38" s="199"/>
      <c r="O38" s="202" t="s">
        <v>188</v>
      </c>
      <c r="P38" s="416"/>
      <c r="Q38" s="197" t="s">
        <v>8</v>
      </c>
      <c r="R38" s="416"/>
      <c r="S38" s="202" t="s">
        <v>188</v>
      </c>
      <c r="T38" s="416"/>
      <c r="U38" s="197" t="s">
        <v>8</v>
      </c>
      <c r="V38" s="265" t="s">
        <v>250</v>
      </c>
      <c r="W38" s="202" t="s">
        <v>188</v>
      </c>
      <c r="X38" s="419"/>
      <c r="Y38" s="197" t="s">
        <v>8</v>
      </c>
      <c r="Z38" s="268" t="s">
        <v>248</v>
      </c>
      <c r="AA38" s="202" t="s">
        <v>188</v>
      </c>
      <c r="AB38" s="417"/>
      <c r="AC38" s="197" t="s">
        <v>8</v>
      </c>
      <c r="AD38" s="416"/>
      <c r="AE38" s="202" t="s">
        <v>188</v>
      </c>
      <c r="AF38" s="268" t="s">
        <v>276</v>
      </c>
      <c r="AG38" s="197" t="s">
        <v>8</v>
      </c>
      <c r="AH38" s="449"/>
      <c r="AI38" s="202" t="s">
        <v>188</v>
      </c>
    </row>
    <row r="39" spans="1:35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198"/>
      <c r="N39" s="198"/>
      <c r="O39" s="202"/>
      <c r="P39" s="416"/>
      <c r="Q39" s="197"/>
      <c r="R39" s="415" t="s">
        <v>189</v>
      </c>
      <c r="T39" s="415" t="s">
        <v>189</v>
      </c>
      <c r="V39" s="269" t="s">
        <v>251</v>
      </c>
      <c r="W39" s="202"/>
      <c r="X39" s="418" t="s">
        <v>247</v>
      </c>
      <c r="Z39" s="268" t="s">
        <v>248</v>
      </c>
      <c r="AA39" s="202"/>
      <c r="AB39" s="415" t="s">
        <v>174</v>
      </c>
      <c r="AD39" s="416"/>
      <c r="AE39" s="202"/>
      <c r="AF39" s="268" t="s">
        <v>276</v>
      </c>
      <c r="AH39" s="449"/>
      <c r="AI39" s="202"/>
    </row>
    <row r="40" spans="1:35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198"/>
      <c r="N40" s="198"/>
      <c r="O40" s="202" t="s">
        <v>190</v>
      </c>
      <c r="P40" s="416"/>
      <c r="Q40" s="197"/>
      <c r="R40" s="417"/>
      <c r="S40" s="202" t="s">
        <v>190</v>
      </c>
      <c r="T40" s="417"/>
      <c r="V40" s="269" t="s">
        <v>252</v>
      </c>
      <c r="W40" s="202" t="s">
        <v>190</v>
      </c>
      <c r="X40" s="419"/>
      <c r="Z40" s="268" t="s">
        <v>248</v>
      </c>
      <c r="AA40" s="202" t="s">
        <v>190</v>
      </c>
      <c r="AB40" s="416"/>
      <c r="AD40" s="416"/>
      <c r="AE40" s="202" t="s">
        <v>190</v>
      </c>
      <c r="AF40" s="268" t="s">
        <v>276</v>
      </c>
      <c r="AH40" s="449"/>
      <c r="AI40" s="202" t="s">
        <v>190</v>
      </c>
    </row>
    <row r="41" spans="1:35" ht="15" customHeight="1" thickBot="1" x14ac:dyDescent="0.3">
      <c r="B41" s="418" t="s">
        <v>247</v>
      </c>
      <c r="D41" s="198"/>
      <c r="E41" s="197"/>
      <c r="F41" s="418" t="s">
        <v>247</v>
      </c>
      <c r="G41" s="202"/>
      <c r="H41" s="418" t="s">
        <v>247</v>
      </c>
      <c r="J41" s="198"/>
      <c r="K41" s="202"/>
      <c r="L41" s="418" t="s">
        <v>247</v>
      </c>
      <c r="N41" s="198"/>
      <c r="O41" s="202"/>
      <c r="P41" s="416"/>
      <c r="Q41" s="197"/>
      <c r="R41" s="415" t="s">
        <v>174</v>
      </c>
      <c r="T41" s="415" t="s">
        <v>174</v>
      </c>
      <c r="V41" s="418" t="s">
        <v>247</v>
      </c>
      <c r="W41" s="202"/>
      <c r="X41" s="418" t="s">
        <v>247</v>
      </c>
      <c r="Z41" s="268" t="s">
        <v>248</v>
      </c>
      <c r="AA41" s="202"/>
      <c r="AB41" s="416"/>
      <c r="AD41" s="416"/>
      <c r="AE41" s="202"/>
      <c r="AF41" s="268" t="s">
        <v>276</v>
      </c>
      <c r="AH41" s="449"/>
      <c r="AI41" s="202"/>
    </row>
    <row r="42" spans="1:35" ht="15.75" thickBot="1" x14ac:dyDescent="0.3">
      <c r="A42" s="206" t="s">
        <v>1</v>
      </c>
      <c r="B42" s="419"/>
      <c r="C42" s="202" t="s">
        <v>191</v>
      </c>
      <c r="D42" s="199"/>
      <c r="E42" s="206" t="s">
        <v>1</v>
      </c>
      <c r="F42" s="419"/>
      <c r="G42" s="202" t="s">
        <v>191</v>
      </c>
      <c r="H42" s="419"/>
      <c r="I42" s="206" t="s">
        <v>1</v>
      </c>
      <c r="J42" s="199"/>
      <c r="K42" s="202" t="s">
        <v>191</v>
      </c>
      <c r="L42" s="419"/>
      <c r="M42" s="206" t="s">
        <v>1</v>
      </c>
      <c r="N42" s="199"/>
      <c r="O42" s="202" t="s">
        <v>191</v>
      </c>
      <c r="P42" s="417"/>
      <c r="Q42" s="206" t="s">
        <v>1</v>
      </c>
      <c r="R42" s="417"/>
      <c r="S42" s="202" t="s">
        <v>191</v>
      </c>
      <c r="T42" s="417"/>
      <c r="U42" s="206" t="s">
        <v>1</v>
      </c>
      <c r="V42" s="419"/>
      <c r="W42" s="202" t="s">
        <v>191</v>
      </c>
      <c r="X42" s="419"/>
      <c r="Y42" s="206" t="s">
        <v>1</v>
      </c>
      <c r="Z42" s="268" t="s">
        <v>248</v>
      </c>
      <c r="AA42" s="202" t="s">
        <v>191</v>
      </c>
      <c r="AB42" s="417"/>
      <c r="AC42" s="206" t="s">
        <v>1</v>
      </c>
      <c r="AD42" s="417"/>
      <c r="AE42" s="202" t="s">
        <v>191</v>
      </c>
      <c r="AF42" s="203" t="s">
        <v>275</v>
      </c>
      <c r="AG42" s="206" t="s">
        <v>1</v>
      </c>
      <c r="AH42" s="449"/>
      <c r="AI42" s="202" t="s">
        <v>191</v>
      </c>
    </row>
    <row r="43" spans="1:35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204" t="s">
        <v>184</v>
      </c>
      <c r="N43" s="198"/>
      <c r="O43" s="202"/>
      <c r="P43" s="441" t="s">
        <v>340</v>
      </c>
      <c r="Q43" s="197"/>
      <c r="R43" s="415" t="s">
        <v>179</v>
      </c>
      <c r="T43" s="415" t="s">
        <v>179</v>
      </c>
      <c r="V43" s="204" t="s">
        <v>184</v>
      </c>
      <c r="W43" s="202"/>
      <c r="X43" s="198"/>
      <c r="Z43" s="268" t="s">
        <v>248</v>
      </c>
      <c r="AA43" s="202"/>
      <c r="AB43" s="415" t="s">
        <v>179</v>
      </c>
      <c r="AD43" s="415" t="s">
        <v>192</v>
      </c>
      <c r="AE43" s="202"/>
      <c r="AF43" s="268" t="s">
        <v>278</v>
      </c>
      <c r="AH43" s="449"/>
      <c r="AI43" s="202"/>
    </row>
    <row r="44" spans="1:35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204" t="s">
        <v>185</v>
      </c>
      <c r="N44" s="198"/>
      <c r="O44" s="202" t="s">
        <v>193</v>
      </c>
      <c r="P44" s="442"/>
      <c r="Q44" s="197"/>
      <c r="R44" s="416"/>
      <c r="S44" s="202" t="s">
        <v>193</v>
      </c>
      <c r="T44" s="416"/>
      <c r="U44" s="197" t="s">
        <v>19</v>
      </c>
      <c r="V44" s="204" t="s">
        <v>185</v>
      </c>
      <c r="W44" s="202" t="s">
        <v>193</v>
      </c>
      <c r="X44" s="198"/>
      <c r="Z44" s="268" t="s">
        <v>248</v>
      </c>
      <c r="AA44" s="202" t="s">
        <v>193</v>
      </c>
      <c r="AB44" s="416"/>
      <c r="AD44" s="416"/>
      <c r="AE44" s="202" t="s">
        <v>193</v>
      </c>
      <c r="AF44" s="268" t="s">
        <v>278</v>
      </c>
      <c r="AH44" s="449"/>
      <c r="AI44" s="202" t="s">
        <v>193</v>
      </c>
    </row>
    <row r="45" spans="1:35" ht="15.75" thickBot="1" x14ac:dyDescent="0.3">
      <c r="B45" s="427" t="s">
        <v>187</v>
      </c>
      <c r="D45" s="198"/>
      <c r="E45" s="197"/>
      <c r="F45" s="198"/>
      <c r="G45" s="202"/>
      <c r="H45" s="198"/>
      <c r="J45" s="198"/>
      <c r="K45" s="202"/>
      <c r="L45" s="198"/>
      <c r="N45" s="198"/>
      <c r="O45" s="202"/>
      <c r="P45" s="442"/>
      <c r="Q45" s="197"/>
      <c r="R45" s="416"/>
      <c r="T45" s="416"/>
      <c r="V45" s="415" t="s">
        <v>253</v>
      </c>
      <c r="W45" s="202"/>
      <c r="X45" s="198"/>
      <c r="Z45" s="268" t="s">
        <v>248</v>
      </c>
      <c r="AA45" s="202"/>
      <c r="AB45" s="416"/>
      <c r="AD45" s="416"/>
      <c r="AE45" s="202"/>
      <c r="AF45" s="268" t="s">
        <v>278</v>
      </c>
      <c r="AH45" s="449"/>
      <c r="AI45" s="202"/>
    </row>
    <row r="46" spans="1:35" ht="15.75" thickBot="1" x14ac:dyDescent="0.3">
      <c r="A46" s="197" t="s">
        <v>8</v>
      </c>
      <c r="B46" s="428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199"/>
      <c r="M46" s="197" t="s">
        <v>8</v>
      </c>
      <c r="N46" s="199"/>
      <c r="O46" s="202" t="s">
        <v>194</v>
      </c>
      <c r="P46" s="443"/>
      <c r="Q46" s="197" t="s">
        <v>8</v>
      </c>
      <c r="R46" s="416"/>
      <c r="S46" s="202" t="s">
        <v>194</v>
      </c>
      <c r="T46" s="416"/>
      <c r="U46" s="197" t="s">
        <v>8</v>
      </c>
      <c r="V46" s="417"/>
      <c r="W46" s="202" t="s">
        <v>194</v>
      </c>
      <c r="X46" s="199"/>
      <c r="Y46" s="197" t="s">
        <v>8</v>
      </c>
      <c r="Z46" s="268" t="s">
        <v>248</v>
      </c>
      <c r="AA46" s="202" t="s">
        <v>194</v>
      </c>
      <c r="AB46" s="416"/>
      <c r="AC46" s="197" t="s">
        <v>8</v>
      </c>
      <c r="AD46" s="417"/>
      <c r="AE46" s="202" t="s">
        <v>194</v>
      </c>
      <c r="AF46" s="268" t="s">
        <v>278</v>
      </c>
      <c r="AG46" s="197" t="s">
        <v>8</v>
      </c>
      <c r="AH46" s="449"/>
      <c r="AI46" s="202" t="s">
        <v>194</v>
      </c>
    </row>
    <row r="47" spans="1:35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N47" s="198"/>
      <c r="O47" s="202"/>
      <c r="P47" s="198"/>
      <c r="Q47" s="197"/>
      <c r="R47" s="416"/>
      <c r="T47" s="416"/>
      <c r="V47" s="415" t="s">
        <v>254</v>
      </c>
      <c r="W47" s="202"/>
      <c r="X47" s="268" t="s">
        <v>248</v>
      </c>
      <c r="Z47" s="268" t="s">
        <v>248</v>
      </c>
      <c r="AA47" s="202"/>
      <c r="AB47" s="416"/>
      <c r="AD47" s="268" t="s">
        <v>248</v>
      </c>
      <c r="AE47" s="202"/>
      <c r="AF47" s="268" t="s">
        <v>278</v>
      </c>
      <c r="AH47" s="449"/>
      <c r="AI47" s="202"/>
    </row>
    <row r="48" spans="1:35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N48" s="198"/>
      <c r="O48" s="202" t="s">
        <v>195</v>
      </c>
      <c r="P48" s="198"/>
      <c r="Q48" s="197"/>
      <c r="R48" s="416"/>
      <c r="S48" s="202" t="s">
        <v>195</v>
      </c>
      <c r="T48" s="416"/>
      <c r="U48" s="197" t="s">
        <v>19</v>
      </c>
      <c r="V48" s="417"/>
      <c r="W48" s="202" t="s">
        <v>195</v>
      </c>
      <c r="X48" s="268" t="s">
        <v>248</v>
      </c>
      <c r="Z48" s="268" t="s">
        <v>248</v>
      </c>
      <c r="AA48" s="202" t="s">
        <v>195</v>
      </c>
      <c r="AB48" s="417"/>
      <c r="AD48" s="268" t="s">
        <v>248</v>
      </c>
      <c r="AE48" s="202" t="s">
        <v>195</v>
      </c>
      <c r="AF48" s="268" t="s">
        <v>278</v>
      </c>
      <c r="AH48" s="449"/>
      <c r="AI48" s="202" t="s">
        <v>195</v>
      </c>
    </row>
    <row r="49" spans="1:35" ht="15" customHeight="1" thickBot="1" x14ac:dyDescent="0.3">
      <c r="B49" s="418" t="s">
        <v>247</v>
      </c>
      <c r="D49" s="198"/>
      <c r="E49" s="197"/>
      <c r="F49" s="418" t="s">
        <v>247</v>
      </c>
      <c r="G49" s="202"/>
      <c r="H49" s="418" t="s">
        <v>247</v>
      </c>
      <c r="J49" s="198"/>
      <c r="K49" s="202"/>
      <c r="L49" s="418" t="s">
        <v>247</v>
      </c>
      <c r="N49" s="198"/>
      <c r="O49" s="202"/>
      <c r="P49" s="418" t="s">
        <v>247</v>
      </c>
      <c r="Q49" s="197"/>
      <c r="R49" s="416"/>
      <c r="T49" s="439" t="s">
        <v>255</v>
      </c>
      <c r="V49" s="418" t="s">
        <v>247</v>
      </c>
      <c r="W49" s="202"/>
      <c r="X49" s="268" t="s">
        <v>248</v>
      </c>
      <c r="Z49" s="268" t="s">
        <v>248</v>
      </c>
      <c r="AA49" s="202"/>
      <c r="AB49" s="268" t="s">
        <v>248</v>
      </c>
      <c r="AD49" s="268" t="s">
        <v>248</v>
      </c>
      <c r="AE49" s="202"/>
      <c r="AF49" s="268" t="s">
        <v>278</v>
      </c>
      <c r="AH49" s="449"/>
      <c r="AI49" s="202"/>
    </row>
    <row r="50" spans="1:35" ht="15.75" thickBot="1" x14ac:dyDescent="0.3">
      <c r="A50" s="205" t="s">
        <v>33</v>
      </c>
      <c r="B50" s="419"/>
      <c r="C50" s="208" t="s">
        <v>196</v>
      </c>
      <c r="D50" s="199"/>
      <c r="E50" s="205" t="s">
        <v>33</v>
      </c>
      <c r="F50" s="419"/>
      <c r="G50" s="208" t="s">
        <v>196</v>
      </c>
      <c r="H50" s="419"/>
      <c r="I50" s="205" t="s">
        <v>33</v>
      </c>
      <c r="J50" s="199"/>
      <c r="K50" s="208" t="s">
        <v>196</v>
      </c>
      <c r="L50" s="419"/>
      <c r="M50" s="205" t="s">
        <v>33</v>
      </c>
      <c r="N50" s="199"/>
      <c r="O50" s="208" t="s">
        <v>196</v>
      </c>
      <c r="P50" s="419"/>
      <c r="Q50" s="205" t="s">
        <v>33</v>
      </c>
      <c r="R50" s="417"/>
      <c r="S50" s="208" t="s">
        <v>196</v>
      </c>
      <c r="T50" s="440"/>
      <c r="U50" s="209" t="s">
        <v>33</v>
      </c>
      <c r="V50" s="419"/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197</v>
      </c>
      <c r="AC50" s="209" t="s">
        <v>33</v>
      </c>
      <c r="AD50" s="203" t="s">
        <v>197</v>
      </c>
      <c r="AE50" s="208" t="s">
        <v>196</v>
      </c>
      <c r="AF50" s="203" t="s">
        <v>277</v>
      </c>
      <c r="AG50" s="209" t="s">
        <v>33</v>
      </c>
      <c r="AH50" s="449"/>
      <c r="AI50" s="208" t="s">
        <v>196</v>
      </c>
    </row>
    <row r="51" spans="1:35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N51" s="198"/>
      <c r="O51" s="202"/>
      <c r="P51" s="204" t="s">
        <v>184</v>
      </c>
      <c r="Q51" s="197"/>
      <c r="R51" s="204" t="s">
        <v>184</v>
      </c>
      <c r="T51" s="204" t="s">
        <v>184</v>
      </c>
      <c r="V51" s="204" t="s">
        <v>184</v>
      </c>
      <c r="W51" s="202"/>
      <c r="X51" s="210"/>
      <c r="Z51" s="444" t="s">
        <v>227</v>
      </c>
      <c r="AA51" s="202"/>
      <c r="AB51" s="444" t="s">
        <v>227</v>
      </c>
      <c r="AD51" s="444" t="s">
        <v>227</v>
      </c>
      <c r="AE51" s="202"/>
      <c r="AF51" s="210"/>
      <c r="AH51" s="449"/>
      <c r="AI51" s="202"/>
    </row>
    <row r="52" spans="1:35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198"/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04" t="s">
        <v>185</v>
      </c>
      <c r="U52" s="197" t="s">
        <v>19</v>
      </c>
      <c r="V52" s="204" t="s">
        <v>185</v>
      </c>
      <c r="W52" s="202" t="s">
        <v>198</v>
      </c>
      <c r="X52" s="210"/>
      <c r="Y52" s="197" t="s">
        <v>19</v>
      </c>
      <c r="Z52" s="445"/>
      <c r="AA52" s="202" t="s">
        <v>198</v>
      </c>
      <c r="AB52" s="445"/>
      <c r="AC52" s="197" t="s">
        <v>19</v>
      </c>
      <c r="AD52" s="445"/>
      <c r="AE52" s="202" t="s">
        <v>198</v>
      </c>
      <c r="AF52" s="210"/>
      <c r="AG52" s="197" t="s">
        <v>19</v>
      </c>
      <c r="AH52" s="449"/>
      <c r="AI52" s="202" t="s">
        <v>198</v>
      </c>
    </row>
    <row r="53" spans="1:35" x14ac:dyDescent="0.25">
      <c r="B53" s="427" t="s">
        <v>187</v>
      </c>
      <c r="D53" s="198"/>
      <c r="E53" s="197"/>
      <c r="F53" s="198"/>
      <c r="G53" s="202"/>
      <c r="H53" s="198"/>
      <c r="J53" s="198"/>
      <c r="K53" s="202"/>
      <c r="L53" s="198"/>
      <c r="N53" s="198"/>
      <c r="O53" s="202"/>
      <c r="P53" s="198"/>
      <c r="Q53" s="197"/>
      <c r="R53" s="198"/>
      <c r="T53" s="198"/>
      <c r="V53" s="415" t="s">
        <v>256</v>
      </c>
      <c r="W53" s="202"/>
      <c r="X53" s="210"/>
      <c r="Z53" s="445"/>
      <c r="AA53" s="202"/>
      <c r="AB53" s="445"/>
      <c r="AD53" s="445"/>
      <c r="AE53" s="202"/>
      <c r="AF53" s="210"/>
      <c r="AH53" s="449"/>
      <c r="AI53" s="202"/>
    </row>
    <row r="54" spans="1:35" ht="15.75" thickBot="1" x14ac:dyDescent="0.3">
      <c r="A54" s="197" t="s">
        <v>8</v>
      </c>
      <c r="B54" s="428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8"/>
      <c r="Q54" s="197" t="s">
        <v>8</v>
      </c>
      <c r="R54" s="199"/>
      <c r="S54" s="202" t="s">
        <v>199</v>
      </c>
      <c r="T54" s="199"/>
      <c r="U54" s="197" t="s">
        <v>8</v>
      </c>
      <c r="V54" s="417"/>
      <c r="W54" s="202" t="s">
        <v>199</v>
      </c>
      <c r="X54" s="210"/>
      <c r="Y54" s="197" t="s">
        <v>8</v>
      </c>
      <c r="Z54" s="445"/>
      <c r="AA54" s="202" t="s">
        <v>199</v>
      </c>
      <c r="AB54" s="445"/>
      <c r="AC54" s="197" t="s">
        <v>8</v>
      </c>
      <c r="AD54" s="445"/>
      <c r="AE54" s="202" t="s">
        <v>199</v>
      </c>
      <c r="AF54" s="210"/>
      <c r="AG54" s="197" t="s">
        <v>8</v>
      </c>
      <c r="AH54" s="449"/>
      <c r="AI54" s="202" t="s">
        <v>199</v>
      </c>
    </row>
    <row r="55" spans="1:35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N55" s="198"/>
      <c r="O55" s="202"/>
      <c r="P55" s="198"/>
      <c r="Q55" s="197"/>
      <c r="R55" s="198"/>
      <c r="T55" s="198"/>
      <c r="V55" s="415" t="s">
        <v>257</v>
      </c>
      <c r="W55" s="202"/>
      <c r="X55" s="210"/>
      <c r="Z55" s="445"/>
      <c r="AA55" s="202"/>
      <c r="AB55" s="445"/>
      <c r="AD55" s="445"/>
      <c r="AE55" s="202"/>
      <c r="AF55" s="210"/>
      <c r="AH55" s="449"/>
      <c r="AI55" s="202"/>
    </row>
    <row r="56" spans="1:35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198"/>
      <c r="S56" s="202" t="s">
        <v>200</v>
      </c>
      <c r="T56" s="198"/>
      <c r="U56" s="197" t="s">
        <v>19</v>
      </c>
      <c r="V56" s="417"/>
      <c r="W56" s="202" t="s">
        <v>200</v>
      </c>
      <c r="X56" s="210"/>
      <c r="Y56" s="197" t="s">
        <v>19</v>
      </c>
      <c r="Z56" s="445"/>
      <c r="AA56" s="202" t="s">
        <v>200</v>
      </c>
      <c r="AB56" s="445"/>
      <c r="AC56" s="197" t="s">
        <v>19</v>
      </c>
      <c r="AD56" s="445"/>
      <c r="AE56" s="202" t="s">
        <v>200</v>
      </c>
      <c r="AF56" s="210"/>
      <c r="AG56" s="197" t="s">
        <v>19</v>
      </c>
      <c r="AH56" s="449"/>
      <c r="AI56" s="202" t="s">
        <v>200</v>
      </c>
    </row>
    <row r="57" spans="1:35" ht="15" customHeight="1" x14ac:dyDescent="0.25">
      <c r="B57" s="418" t="s">
        <v>247</v>
      </c>
      <c r="D57" s="198"/>
      <c r="E57" s="197"/>
      <c r="F57" s="418" t="s">
        <v>247</v>
      </c>
      <c r="G57" s="202"/>
      <c r="H57" s="418" t="s">
        <v>247</v>
      </c>
      <c r="J57" s="198"/>
      <c r="K57" s="202"/>
      <c r="L57" s="418" t="s">
        <v>247</v>
      </c>
      <c r="N57" s="198"/>
      <c r="O57" s="202"/>
      <c r="P57" s="418" t="s">
        <v>247</v>
      </c>
      <c r="Q57" s="197"/>
      <c r="R57" s="418" t="s">
        <v>247</v>
      </c>
      <c r="T57" s="418" t="s">
        <v>258</v>
      </c>
      <c r="V57" s="418" t="s">
        <v>247</v>
      </c>
      <c r="W57" s="202"/>
      <c r="X57" s="210"/>
      <c r="Z57" s="445"/>
      <c r="AA57" s="202"/>
      <c r="AB57" s="445"/>
      <c r="AD57" s="445"/>
      <c r="AE57" s="202"/>
      <c r="AF57" s="210"/>
      <c r="AH57" s="449"/>
      <c r="AI57" s="202"/>
    </row>
    <row r="58" spans="1:35" ht="15.75" thickBot="1" x14ac:dyDescent="0.3">
      <c r="A58" s="206" t="s">
        <v>1</v>
      </c>
      <c r="B58" s="419"/>
      <c r="C58" s="202" t="s">
        <v>201</v>
      </c>
      <c r="D58" s="199"/>
      <c r="E58" s="206" t="s">
        <v>1</v>
      </c>
      <c r="F58" s="419"/>
      <c r="G58" s="202" t="s">
        <v>201</v>
      </c>
      <c r="H58" s="419"/>
      <c r="I58" s="206" t="s">
        <v>1</v>
      </c>
      <c r="J58" s="199"/>
      <c r="K58" s="202" t="s">
        <v>201</v>
      </c>
      <c r="L58" s="419"/>
      <c r="M58" s="206" t="s">
        <v>1</v>
      </c>
      <c r="N58" s="199"/>
      <c r="O58" s="202" t="s">
        <v>201</v>
      </c>
      <c r="P58" s="419"/>
      <c r="Q58" s="206" t="s">
        <v>1</v>
      </c>
      <c r="R58" s="419"/>
      <c r="S58" s="202" t="s">
        <v>201</v>
      </c>
      <c r="T58" s="419"/>
      <c r="U58" s="206" t="s">
        <v>1</v>
      </c>
      <c r="V58" s="419"/>
      <c r="W58" s="202" t="s">
        <v>201</v>
      </c>
      <c r="X58" s="210"/>
      <c r="Y58" s="206" t="s">
        <v>1</v>
      </c>
      <c r="Z58" s="446"/>
      <c r="AA58" s="202" t="s">
        <v>201</v>
      </c>
      <c r="AB58" s="446"/>
      <c r="AC58" s="206" t="s">
        <v>1</v>
      </c>
      <c r="AD58" s="446"/>
      <c r="AE58" s="202" t="s">
        <v>201</v>
      </c>
      <c r="AF58" s="210"/>
      <c r="AG58" s="206" t="s">
        <v>1</v>
      </c>
      <c r="AH58" s="449"/>
      <c r="AI58" s="202" t="s">
        <v>201</v>
      </c>
    </row>
    <row r="59" spans="1:35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N59" s="203" t="s">
        <v>202</v>
      </c>
      <c r="O59" s="202" t="s">
        <v>203</v>
      </c>
      <c r="P59" s="203" t="s">
        <v>202</v>
      </c>
      <c r="Q59" s="197"/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203" t="s">
        <v>202</v>
      </c>
      <c r="AD59" s="203" t="s">
        <v>202</v>
      </c>
      <c r="AE59" s="202" t="s">
        <v>203</v>
      </c>
      <c r="AF59" s="420" t="s">
        <v>179</v>
      </c>
      <c r="AH59" s="449"/>
      <c r="AI59" s="202" t="s">
        <v>203</v>
      </c>
    </row>
    <row r="60" spans="1:35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203" t="s">
        <v>204</v>
      </c>
      <c r="AC60" s="197" t="s">
        <v>19</v>
      </c>
      <c r="AD60" s="203" t="s">
        <v>204</v>
      </c>
      <c r="AE60" s="202" t="s">
        <v>205</v>
      </c>
      <c r="AF60" s="452"/>
      <c r="AG60" s="197" t="s">
        <v>19</v>
      </c>
      <c r="AH60" s="449"/>
      <c r="AI60" s="202" t="s">
        <v>205</v>
      </c>
    </row>
    <row r="61" spans="1:35" x14ac:dyDescent="0.25">
      <c r="B61" s="427" t="s">
        <v>187</v>
      </c>
      <c r="D61" s="198"/>
      <c r="E61" s="197"/>
      <c r="F61" s="198"/>
      <c r="G61" s="202"/>
      <c r="H61" s="198"/>
      <c r="J61" s="198"/>
      <c r="K61" s="202"/>
      <c r="L61" s="198"/>
      <c r="N61" s="198"/>
      <c r="O61" s="202"/>
      <c r="P61" s="198"/>
      <c r="Q61" s="197"/>
      <c r="R61" s="447" t="s">
        <v>259</v>
      </c>
      <c r="T61" s="447" t="s">
        <v>259</v>
      </c>
      <c r="V61" s="415" t="s">
        <v>260</v>
      </c>
      <c r="W61" s="202"/>
      <c r="X61" s="210"/>
      <c r="Z61" s="210"/>
      <c r="AA61" s="202"/>
      <c r="AB61" s="210"/>
      <c r="AD61" s="210"/>
      <c r="AE61" s="202"/>
      <c r="AF61" s="452"/>
      <c r="AH61" s="449"/>
      <c r="AI61" s="202"/>
    </row>
    <row r="62" spans="1:35" ht="15.75" thickBot="1" x14ac:dyDescent="0.3">
      <c r="A62" s="197" t="s">
        <v>8</v>
      </c>
      <c r="B62" s="428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199"/>
      <c r="O62" s="202" t="s">
        <v>206</v>
      </c>
      <c r="P62" s="198"/>
      <c r="Q62" s="197" t="s">
        <v>8</v>
      </c>
      <c r="R62" s="417"/>
      <c r="S62" s="202" t="s">
        <v>206</v>
      </c>
      <c r="T62" s="417"/>
      <c r="U62" s="197" t="s">
        <v>8</v>
      </c>
      <c r="V62" s="417"/>
      <c r="W62" s="202" t="s">
        <v>206</v>
      </c>
      <c r="X62" s="210"/>
      <c r="Y62" s="197" t="s">
        <v>8</v>
      </c>
      <c r="Z62" s="210"/>
      <c r="AA62" s="202" t="s">
        <v>206</v>
      </c>
      <c r="AB62" s="210"/>
      <c r="AC62" s="197" t="s">
        <v>8</v>
      </c>
      <c r="AD62" s="210"/>
      <c r="AE62" s="202" t="s">
        <v>206</v>
      </c>
      <c r="AF62" s="452"/>
      <c r="AG62" s="197" t="s">
        <v>8</v>
      </c>
      <c r="AH62" s="449"/>
      <c r="AI62" s="202" t="s">
        <v>206</v>
      </c>
    </row>
    <row r="63" spans="1:35" ht="15" customHeight="1" x14ac:dyDescent="0.25">
      <c r="B63" s="198"/>
      <c r="D63" s="418" t="s">
        <v>247</v>
      </c>
      <c r="E63" s="197"/>
      <c r="F63" s="198"/>
      <c r="G63" s="202"/>
      <c r="H63" s="198"/>
      <c r="J63" s="418" t="s">
        <v>247</v>
      </c>
      <c r="K63" s="202"/>
      <c r="L63" s="198"/>
      <c r="N63" s="418" t="s">
        <v>247</v>
      </c>
      <c r="O63" s="202"/>
      <c r="P63" s="198"/>
      <c r="Q63" s="197"/>
      <c r="R63" s="198"/>
      <c r="T63" s="198"/>
      <c r="V63" s="415" t="s">
        <v>261</v>
      </c>
      <c r="W63" s="202"/>
      <c r="X63" s="418" t="s">
        <v>247</v>
      </c>
      <c r="Z63" s="418" t="s">
        <v>247</v>
      </c>
      <c r="AA63" s="202"/>
      <c r="AB63" s="418" t="s">
        <v>247</v>
      </c>
      <c r="AD63" s="418" t="s">
        <v>247</v>
      </c>
      <c r="AE63" s="202"/>
      <c r="AF63" s="452"/>
      <c r="AH63" s="449"/>
      <c r="AI63" s="202"/>
    </row>
    <row r="64" spans="1:35" ht="15.75" thickBot="1" x14ac:dyDescent="0.3">
      <c r="A64" s="197" t="s">
        <v>19</v>
      </c>
      <c r="B64" s="198"/>
      <c r="C64" s="202" t="s">
        <v>207</v>
      </c>
      <c r="D64" s="419"/>
      <c r="E64" s="197" t="s">
        <v>19</v>
      </c>
      <c r="F64" s="198"/>
      <c r="G64" s="202" t="s">
        <v>207</v>
      </c>
      <c r="H64" s="198"/>
      <c r="I64" s="197" t="s">
        <v>19</v>
      </c>
      <c r="J64" s="419"/>
      <c r="K64" s="202" t="s">
        <v>207</v>
      </c>
      <c r="L64" s="198"/>
      <c r="M64" s="197" t="s">
        <v>19</v>
      </c>
      <c r="N64" s="419"/>
      <c r="O64" s="202" t="s">
        <v>207</v>
      </c>
      <c r="P64" s="198"/>
      <c r="Q64" s="197" t="s">
        <v>19</v>
      </c>
      <c r="R64" s="199"/>
      <c r="S64" s="202" t="s">
        <v>207</v>
      </c>
      <c r="T64" s="199"/>
      <c r="U64" s="197" t="s">
        <v>19</v>
      </c>
      <c r="V64" s="417"/>
      <c r="W64" s="202" t="s">
        <v>207</v>
      </c>
      <c r="X64" s="419"/>
      <c r="Y64" s="197" t="s">
        <v>19</v>
      </c>
      <c r="Z64" s="419"/>
      <c r="AA64" s="202" t="s">
        <v>207</v>
      </c>
      <c r="AB64" s="419"/>
      <c r="AC64" s="197" t="s">
        <v>19</v>
      </c>
      <c r="AD64" s="419"/>
      <c r="AE64" s="202" t="s">
        <v>207</v>
      </c>
      <c r="AF64" s="452"/>
      <c r="AG64" s="197" t="s">
        <v>19</v>
      </c>
      <c r="AH64" s="450"/>
      <c r="AI64" s="202" t="s">
        <v>207</v>
      </c>
    </row>
    <row r="65" spans="1:35" x14ac:dyDescent="0.25">
      <c r="B65" s="420" t="s">
        <v>262</v>
      </c>
      <c r="D65" s="420" t="s">
        <v>262</v>
      </c>
      <c r="E65" s="197"/>
      <c r="F65" s="420" t="s">
        <v>262</v>
      </c>
      <c r="G65" s="202"/>
      <c r="H65" s="420" t="s">
        <v>262</v>
      </c>
      <c r="J65" s="420" t="s">
        <v>262</v>
      </c>
      <c r="K65" s="202"/>
      <c r="L65" s="420" t="s">
        <v>262</v>
      </c>
      <c r="N65" s="420" t="s">
        <v>262</v>
      </c>
      <c r="O65" s="202"/>
      <c r="P65" s="420" t="s">
        <v>262</v>
      </c>
      <c r="Q65" s="197"/>
      <c r="R65" s="420" t="s">
        <v>262</v>
      </c>
      <c r="T65" s="439" t="s">
        <v>263</v>
      </c>
      <c r="V65" s="420" t="s">
        <v>262</v>
      </c>
      <c r="W65" s="202"/>
      <c r="X65" s="420" t="s">
        <v>262</v>
      </c>
      <c r="Z65" s="420" t="s">
        <v>262</v>
      </c>
      <c r="AA65" s="202"/>
      <c r="AB65" s="420" t="s">
        <v>262</v>
      </c>
      <c r="AD65" s="420" t="s">
        <v>262</v>
      </c>
      <c r="AE65" s="202"/>
      <c r="AF65" s="452"/>
      <c r="AH65" s="451" t="s">
        <v>264</v>
      </c>
      <c r="AI65" s="202"/>
    </row>
    <row r="66" spans="1:35" ht="15.75" thickBot="1" x14ac:dyDescent="0.3">
      <c r="A66" s="201"/>
      <c r="B66" s="421"/>
      <c r="C66" s="208" t="s">
        <v>208</v>
      </c>
      <c r="D66" s="421"/>
      <c r="E66" s="201"/>
      <c r="F66" s="421"/>
      <c r="G66" s="208" t="s">
        <v>208</v>
      </c>
      <c r="H66" s="421"/>
      <c r="I66" s="201"/>
      <c r="J66" s="421"/>
      <c r="K66" s="208" t="s">
        <v>208</v>
      </c>
      <c r="L66" s="421"/>
      <c r="M66" s="201"/>
      <c r="N66" s="421"/>
      <c r="O66" s="208" t="s">
        <v>208</v>
      </c>
      <c r="P66" s="421"/>
      <c r="Q66" s="201"/>
      <c r="R66" s="421"/>
      <c r="S66" s="208" t="s">
        <v>208</v>
      </c>
      <c r="T66" s="440"/>
      <c r="U66" s="200"/>
      <c r="V66" s="421"/>
      <c r="W66" s="208" t="s">
        <v>208</v>
      </c>
      <c r="X66" s="421"/>
      <c r="Y66" s="200"/>
      <c r="Z66" s="421"/>
      <c r="AA66" s="208" t="s">
        <v>208</v>
      </c>
      <c r="AB66" s="421"/>
      <c r="AC66" s="200"/>
      <c r="AD66" s="421"/>
      <c r="AE66" s="208" t="s">
        <v>208</v>
      </c>
      <c r="AF66" s="421"/>
      <c r="AG66" s="200"/>
      <c r="AH66" s="450"/>
      <c r="AI66" s="208" t="s">
        <v>208</v>
      </c>
    </row>
    <row r="67" spans="1:35" x14ac:dyDescent="0.25">
      <c r="G67" s="202"/>
      <c r="K67" s="202"/>
      <c r="O67" s="202"/>
      <c r="W67" s="202"/>
      <c r="AA67" s="202"/>
      <c r="AE67" s="202"/>
      <c r="AI67" s="202"/>
    </row>
  </sheetData>
  <mergeCells count="132">
    <mergeCell ref="V61:V62"/>
    <mergeCell ref="V63:V64"/>
    <mergeCell ref="AD51:AD58"/>
    <mergeCell ref="AD43:AD46"/>
    <mergeCell ref="AB39:AB42"/>
    <mergeCell ref="AB35:AB38"/>
    <mergeCell ref="AD35:AD42"/>
    <mergeCell ref="Z65:Z66"/>
    <mergeCell ref="AB65:AB66"/>
    <mergeCell ref="X63:X64"/>
    <mergeCell ref="Z63:Z64"/>
    <mergeCell ref="AB63:AB64"/>
    <mergeCell ref="X39:X40"/>
    <mergeCell ref="X35:X36"/>
    <mergeCell ref="V41:V42"/>
    <mergeCell ref="X41:X42"/>
    <mergeCell ref="AH3:AH10"/>
    <mergeCell ref="AH11:AH14"/>
    <mergeCell ref="AH15:AH18"/>
    <mergeCell ref="AH19:AH26"/>
    <mergeCell ref="AH27:AH64"/>
    <mergeCell ref="AH65:AH66"/>
    <mergeCell ref="AF3:AF34"/>
    <mergeCell ref="AF59:AF66"/>
    <mergeCell ref="AD65:AD66"/>
    <mergeCell ref="AD63:AD64"/>
    <mergeCell ref="AD3:AD34"/>
    <mergeCell ref="AB3:AB34"/>
    <mergeCell ref="Z51:Z58"/>
    <mergeCell ref="AB51:AB58"/>
    <mergeCell ref="V57:V58"/>
    <mergeCell ref="X37:X38"/>
    <mergeCell ref="B65:B66"/>
    <mergeCell ref="D65:D66"/>
    <mergeCell ref="F65:F66"/>
    <mergeCell ref="H65:H66"/>
    <mergeCell ref="N65:N66"/>
    <mergeCell ref="P65:P66"/>
    <mergeCell ref="B61:B62"/>
    <mergeCell ref="R61:R62"/>
    <mergeCell ref="T61:T62"/>
    <mergeCell ref="D63:D64"/>
    <mergeCell ref="N63:N64"/>
    <mergeCell ref="R65:R66"/>
    <mergeCell ref="T65:T66"/>
    <mergeCell ref="AB43:AB48"/>
    <mergeCell ref="B53:B54"/>
    <mergeCell ref="V53:V54"/>
    <mergeCell ref="V55:V56"/>
    <mergeCell ref="V65:V66"/>
    <mergeCell ref="X65:X66"/>
    <mergeCell ref="B57:B58"/>
    <mergeCell ref="F57:F58"/>
    <mergeCell ref="H57:H58"/>
    <mergeCell ref="P57:P58"/>
    <mergeCell ref="R57:R58"/>
    <mergeCell ref="T57:T58"/>
    <mergeCell ref="B45:B46"/>
    <mergeCell ref="V45:V46"/>
    <mergeCell ref="V47:V48"/>
    <mergeCell ref="B49:B50"/>
    <mergeCell ref="F49:F50"/>
    <mergeCell ref="H49:H50"/>
    <mergeCell ref="P49:P50"/>
    <mergeCell ref="T49:T50"/>
    <mergeCell ref="V49:V50"/>
    <mergeCell ref="P43:P46"/>
    <mergeCell ref="R43:R50"/>
    <mergeCell ref="T43:T48"/>
    <mergeCell ref="L49:L50"/>
    <mergeCell ref="L57:L58"/>
    <mergeCell ref="B27:B34"/>
    <mergeCell ref="F27:F34"/>
    <mergeCell ref="V11:V18"/>
    <mergeCell ref="R27:R34"/>
    <mergeCell ref="T27:T34"/>
    <mergeCell ref="B3:B10"/>
    <mergeCell ref="D3:D10"/>
    <mergeCell ref="F3:F10"/>
    <mergeCell ref="H3:H10"/>
    <mergeCell ref="N3:N10"/>
    <mergeCell ref="P3:P10"/>
    <mergeCell ref="R3:R10"/>
    <mergeCell ref="T3:T10"/>
    <mergeCell ref="V27:V34"/>
    <mergeCell ref="V19:V26"/>
    <mergeCell ref="R11:R18"/>
    <mergeCell ref="J4:J10"/>
    <mergeCell ref="L4:L10"/>
    <mergeCell ref="B11:B18"/>
    <mergeCell ref="D11:D18"/>
    <mergeCell ref="F11:F18"/>
    <mergeCell ref="H11:H18"/>
    <mergeCell ref="N11:N18"/>
    <mergeCell ref="P11:P18"/>
    <mergeCell ref="J11:J18"/>
    <mergeCell ref="L11:L18"/>
    <mergeCell ref="V3:V10"/>
    <mergeCell ref="Z3:Z34"/>
    <mergeCell ref="B37:B38"/>
    <mergeCell ref="B41:B42"/>
    <mergeCell ref="F41:F42"/>
    <mergeCell ref="H41:H42"/>
    <mergeCell ref="R41:R42"/>
    <mergeCell ref="B19:B26"/>
    <mergeCell ref="F19:F26"/>
    <mergeCell ref="H19:H26"/>
    <mergeCell ref="N19:N22"/>
    <mergeCell ref="P19:P22"/>
    <mergeCell ref="N23:N26"/>
    <mergeCell ref="R39:R40"/>
    <mergeCell ref="X3:X34"/>
    <mergeCell ref="T11:T18"/>
    <mergeCell ref="H27:H34"/>
    <mergeCell ref="N27:N34"/>
    <mergeCell ref="P27:P34"/>
    <mergeCell ref="P23:P26"/>
    <mergeCell ref="P35:P42"/>
    <mergeCell ref="R35:R38"/>
    <mergeCell ref="T35:T38"/>
    <mergeCell ref="T41:T42"/>
    <mergeCell ref="T39:T40"/>
    <mergeCell ref="J63:J64"/>
    <mergeCell ref="J65:J66"/>
    <mergeCell ref="L65:L66"/>
    <mergeCell ref="J27:J32"/>
    <mergeCell ref="J33:J34"/>
    <mergeCell ref="J21:J26"/>
    <mergeCell ref="L21:L26"/>
    <mergeCell ref="L27:L32"/>
    <mergeCell ref="L33:L34"/>
    <mergeCell ref="L41:L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08" customWidth="1"/>
    <col min="2" max="2" width="1.28515625" style="308" customWidth="1"/>
    <col min="3" max="3" width="6.85546875" style="308" customWidth="1"/>
    <col min="4" max="4" width="1.140625" style="309" customWidth="1"/>
    <col min="5" max="5" width="6.85546875" style="308" customWidth="1"/>
    <col min="6" max="6" width="1.28515625" style="308" customWidth="1"/>
    <col min="7" max="7" width="11.42578125" style="308"/>
    <col min="8" max="8" width="1.28515625" style="308" customWidth="1"/>
    <col min="9" max="9" width="6.85546875" style="308" customWidth="1"/>
    <col min="10" max="10" width="1.140625" style="309" customWidth="1"/>
    <col min="11" max="11" width="6.85546875" style="308" customWidth="1"/>
    <col min="12" max="12" width="1.28515625" style="308" customWidth="1"/>
    <col min="13" max="13" width="11.42578125" style="308"/>
    <col min="14" max="14" width="1.28515625" style="308" customWidth="1"/>
    <col min="15" max="15" width="6.85546875" style="308" customWidth="1"/>
    <col min="16" max="16" width="1.140625" style="309" customWidth="1"/>
    <col min="17" max="17" width="6.85546875" style="308" customWidth="1"/>
    <col min="18" max="18" width="1.28515625" style="308" customWidth="1"/>
    <col min="19" max="19" width="11.42578125" style="308"/>
    <col min="20" max="20" width="1.28515625" style="308" customWidth="1"/>
    <col min="21" max="21" width="6.85546875" style="308" customWidth="1"/>
    <col min="22" max="22" width="1.140625" style="309" customWidth="1"/>
    <col min="23" max="23" width="6.85546875" style="308" customWidth="1"/>
    <col min="24" max="24" width="1.28515625" style="308" customWidth="1"/>
    <col min="25" max="25" width="7.28515625" style="308" customWidth="1"/>
    <col min="26" max="26" width="13" style="308" customWidth="1"/>
    <col min="27" max="27" width="64.28515625" style="310" bestFit="1" customWidth="1"/>
    <col min="28" max="16384" width="11.42578125" style="308"/>
  </cols>
  <sheetData>
    <row r="1" spans="1:27" ht="6" customHeight="1" x14ac:dyDescent="0.3">
      <c r="M1" s="309"/>
      <c r="S1" s="309"/>
      <c r="Y1" s="309"/>
      <c r="Z1" s="309"/>
    </row>
    <row r="2" spans="1:27" ht="6" customHeight="1" x14ac:dyDescent="0.3">
      <c r="M2" s="309"/>
      <c r="S2" s="309"/>
      <c r="Y2" s="309"/>
      <c r="Z2" s="309"/>
    </row>
    <row r="3" spans="1:27" s="311" customFormat="1" ht="74.25" customHeight="1" x14ac:dyDescent="0.3">
      <c r="B3" s="312"/>
      <c r="C3" s="453" t="s">
        <v>281</v>
      </c>
      <c r="D3" s="453"/>
      <c r="E3" s="453"/>
      <c r="F3" s="312"/>
      <c r="G3" s="312"/>
      <c r="H3" s="312"/>
      <c r="I3" s="453" t="s">
        <v>282</v>
      </c>
      <c r="J3" s="453"/>
      <c r="K3" s="453"/>
      <c r="M3" s="313"/>
      <c r="O3" s="453" t="s">
        <v>283</v>
      </c>
      <c r="P3" s="453"/>
      <c r="Q3" s="453"/>
      <c r="R3" s="312"/>
      <c r="S3" s="313"/>
      <c r="U3" s="453" t="s">
        <v>284</v>
      </c>
      <c r="V3" s="453"/>
      <c r="W3" s="453"/>
      <c r="X3" s="312"/>
      <c r="Y3" s="313"/>
      <c r="Z3" s="313"/>
      <c r="AA3" s="314"/>
    </row>
    <row r="4" spans="1:27" ht="25.5" customHeight="1" thickBot="1" x14ac:dyDescent="0.35">
      <c r="M4" s="309"/>
      <c r="S4" s="309"/>
      <c r="Y4" s="309"/>
      <c r="Z4" s="309"/>
    </row>
    <row r="5" spans="1:27" ht="6" customHeight="1" x14ac:dyDescent="0.3">
      <c r="B5" s="454"/>
      <c r="C5" s="315"/>
      <c r="D5" s="315"/>
      <c r="E5" s="315"/>
      <c r="F5" s="457"/>
      <c r="G5" s="309"/>
      <c r="H5" s="454"/>
      <c r="I5" s="315"/>
      <c r="J5" s="315"/>
      <c r="K5" s="315"/>
      <c r="L5" s="457"/>
      <c r="M5" s="309"/>
      <c r="N5" s="460"/>
      <c r="O5" s="316"/>
      <c r="P5" s="315"/>
      <c r="Q5" s="316"/>
      <c r="R5" s="463"/>
      <c r="S5" s="309"/>
      <c r="T5" s="460"/>
      <c r="U5" s="316"/>
      <c r="V5" s="315"/>
      <c r="W5" s="316"/>
      <c r="X5" s="463"/>
      <c r="Y5" s="309"/>
      <c r="Z5" s="309"/>
    </row>
    <row r="6" spans="1:27" ht="33" customHeight="1" x14ac:dyDescent="0.3">
      <c r="A6" s="317" t="s">
        <v>285</v>
      </c>
      <c r="B6" s="455"/>
      <c r="C6" s="318"/>
      <c r="D6" s="318"/>
      <c r="E6" s="318"/>
      <c r="F6" s="458"/>
      <c r="G6" s="309"/>
      <c r="H6" s="455"/>
      <c r="I6" s="318"/>
      <c r="J6" s="318"/>
      <c r="K6" s="318"/>
      <c r="L6" s="458"/>
      <c r="M6" s="309"/>
      <c r="N6" s="461"/>
      <c r="O6" s="318"/>
      <c r="P6" s="318"/>
      <c r="Q6" s="318"/>
      <c r="R6" s="464"/>
      <c r="S6" s="309"/>
      <c r="T6" s="461"/>
      <c r="U6" s="318"/>
      <c r="V6" s="318"/>
      <c r="W6" s="318"/>
      <c r="X6" s="464"/>
      <c r="Y6" s="309"/>
      <c r="Z6" s="309"/>
      <c r="AA6" s="319" t="s">
        <v>286</v>
      </c>
    </row>
    <row r="7" spans="1:27" ht="6" customHeight="1" x14ac:dyDescent="0.3">
      <c r="B7" s="456"/>
      <c r="C7" s="320"/>
      <c r="D7" s="320"/>
      <c r="E7" s="320"/>
      <c r="F7" s="459"/>
      <c r="G7" s="309"/>
      <c r="H7" s="456"/>
      <c r="I7" s="320"/>
      <c r="J7" s="320"/>
      <c r="K7" s="320"/>
      <c r="L7" s="459"/>
      <c r="M7" s="309"/>
      <c r="N7" s="462"/>
      <c r="O7" s="321"/>
      <c r="P7" s="320"/>
      <c r="Q7" s="321"/>
      <c r="R7" s="465"/>
      <c r="S7" s="309"/>
      <c r="T7" s="462"/>
      <c r="U7" s="321"/>
      <c r="V7" s="320"/>
      <c r="W7" s="321"/>
      <c r="X7" s="465"/>
      <c r="Y7" s="309"/>
      <c r="Z7" s="309"/>
      <c r="AA7" s="319"/>
    </row>
    <row r="8" spans="1:27" ht="6" customHeight="1" x14ac:dyDescent="0.3">
      <c r="A8" s="309"/>
      <c r="B8" s="455"/>
      <c r="C8" s="322"/>
      <c r="D8" s="322"/>
      <c r="E8" s="322"/>
      <c r="F8" s="458"/>
      <c r="G8" s="309"/>
      <c r="H8" s="455"/>
      <c r="I8" s="322"/>
      <c r="J8" s="322"/>
      <c r="K8" s="322"/>
      <c r="L8" s="458"/>
      <c r="M8" s="309"/>
      <c r="N8" s="455"/>
      <c r="O8" s="322"/>
      <c r="P8" s="322"/>
      <c r="Q8" s="322"/>
      <c r="R8" s="458"/>
      <c r="S8" s="309"/>
      <c r="T8" s="455"/>
      <c r="U8" s="322"/>
      <c r="V8" s="322"/>
      <c r="W8" s="322"/>
      <c r="X8" s="458"/>
      <c r="Y8" s="309"/>
      <c r="Z8" s="309"/>
      <c r="AA8" s="319"/>
    </row>
    <row r="9" spans="1:27" ht="33" customHeight="1" x14ac:dyDescent="0.3">
      <c r="A9" s="309"/>
      <c r="B9" s="455"/>
      <c r="C9" s="322"/>
      <c r="D9" s="322"/>
      <c r="E9" s="322"/>
      <c r="F9" s="458"/>
      <c r="G9" s="309"/>
      <c r="H9" s="455"/>
      <c r="I9" s="322"/>
      <c r="J9" s="322"/>
      <c r="K9" s="322"/>
      <c r="L9" s="458"/>
      <c r="M9" s="309"/>
      <c r="N9" s="455"/>
      <c r="O9" s="322"/>
      <c r="P9" s="322"/>
      <c r="Q9" s="322"/>
      <c r="R9" s="458"/>
      <c r="S9" s="309"/>
      <c r="T9" s="455"/>
      <c r="U9" s="322"/>
      <c r="V9" s="322"/>
      <c r="W9" s="322"/>
      <c r="X9" s="458"/>
      <c r="Y9" s="309"/>
      <c r="Z9" s="309"/>
      <c r="AA9" s="323" t="s">
        <v>287</v>
      </c>
    </row>
    <row r="10" spans="1:27" ht="6" customHeight="1" x14ac:dyDescent="0.3">
      <c r="A10" s="309"/>
      <c r="B10" s="456"/>
      <c r="C10" s="320"/>
      <c r="D10" s="320"/>
      <c r="E10" s="320"/>
      <c r="F10" s="459"/>
      <c r="G10" s="309"/>
      <c r="H10" s="456"/>
      <c r="I10" s="320"/>
      <c r="J10" s="320"/>
      <c r="K10" s="320"/>
      <c r="L10" s="459"/>
      <c r="M10" s="309"/>
      <c r="N10" s="456"/>
      <c r="O10" s="320"/>
      <c r="P10" s="320"/>
      <c r="Q10" s="320"/>
      <c r="R10" s="459"/>
      <c r="S10" s="309"/>
      <c r="T10" s="456"/>
      <c r="U10" s="320"/>
      <c r="V10" s="320"/>
      <c r="W10" s="320"/>
      <c r="X10" s="459"/>
      <c r="Y10" s="309"/>
      <c r="Z10" s="309"/>
      <c r="AA10" s="319"/>
    </row>
    <row r="11" spans="1:27" ht="6" customHeight="1" x14ac:dyDescent="0.3">
      <c r="A11" s="309"/>
      <c r="B11" s="466"/>
      <c r="C11" s="324"/>
      <c r="D11" s="324"/>
      <c r="E11" s="324"/>
      <c r="F11" s="467"/>
      <c r="G11" s="309"/>
      <c r="H11" s="466"/>
      <c r="I11" s="324"/>
      <c r="J11" s="324"/>
      <c r="K11" s="324"/>
      <c r="L11" s="467"/>
      <c r="M11" s="309"/>
      <c r="N11" s="466"/>
      <c r="O11" s="324"/>
      <c r="P11" s="324"/>
      <c r="Q11" s="324"/>
      <c r="R11" s="467"/>
      <c r="S11" s="309"/>
      <c r="T11" s="466"/>
      <c r="U11" s="324"/>
      <c r="V11" s="324"/>
      <c r="W11" s="324"/>
      <c r="X11" s="467"/>
      <c r="Y11" s="309"/>
      <c r="Z11" s="309"/>
      <c r="AA11" s="319"/>
    </row>
    <row r="12" spans="1:27" ht="33" customHeight="1" x14ac:dyDescent="0.3">
      <c r="A12" s="309"/>
      <c r="B12" s="455"/>
      <c r="C12" s="322"/>
      <c r="D12" s="322"/>
      <c r="E12" s="322"/>
      <c r="F12" s="458"/>
      <c r="G12" s="309"/>
      <c r="H12" s="455"/>
      <c r="I12" s="322"/>
      <c r="J12" s="322"/>
      <c r="K12" s="322"/>
      <c r="L12" s="458"/>
      <c r="M12" s="309"/>
      <c r="N12" s="455"/>
      <c r="O12" s="322"/>
      <c r="P12" s="322"/>
      <c r="Q12" s="322"/>
      <c r="R12" s="458"/>
      <c r="S12" s="309"/>
      <c r="T12" s="455"/>
      <c r="U12" s="322"/>
      <c r="V12" s="322"/>
      <c r="W12" s="322"/>
      <c r="X12" s="458"/>
      <c r="Y12" s="309"/>
      <c r="Z12" s="309"/>
      <c r="AA12" s="323" t="s">
        <v>288</v>
      </c>
    </row>
    <row r="13" spans="1:27" ht="6" customHeight="1" x14ac:dyDescent="0.3">
      <c r="A13" s="309"/>
      <c r="B13" s="456"/>
      <c r="C13" s="320"/>
      <c r="D13" s="320"/>
      <c r="E13" s="320"/>
      <c r="F13" s="459"/>
      <c r="G13" s="309"/>
      <c r="H13" s="456"/>
      <c r="I13" s="320"/>
      <c r="J13" s="320"/>
      <c r="K13" s="320"/>
      <c r="L13" s="459"/>
      <c r="M13" s="309"/>
      <c r="N13" s="456"/>
      <c r="O13" s="320"/>
      <c r="P13" s="320"/>
      <c r="Q13" s="320"/>
      <c r="R13" s="459"/>
      <c r="S13" s="309"/>
      <c r="T13" s="456"/>
      <c r="U13" s="320"/>
      <c r="V13" s="320"/>
      <c r="W13" s="320"/>
      <c r="X13" s="459"/>
      <c r="Y13" s="309"/>
      <c r="Z13" s="309"/>
      <c r="AA13" s="319"/>
    </row>
    <row r="14" spans="1:27" ht="6" customHeight="1" x14ac:dyDescent="0.3">
      <c r="A14" s="309"/>
      <c r="B14" s="466"/>
      <c r="C14" s="324"/>
      <c r="D14" s="324"/>
      <c r="E14" s="324"/>
      <c r="F14" s="467"/>
      <c r="G14" s="309"/>
      <c r="H14" s="466"/>
      <c r="I14" s="324"/>
      <c r="J14" s="324"/>
      <c r="K14" s="324"/>
      <c r="L14" s="467"/>
      <c r="M14" s="309"/>
      <c r="N14" s="466"/>
      <c r="O14" s="324"/>
      <c r="P14" s="324"/>
      <c r="Q14" s="324"/>
      <c r="R14" s="467"/>
      <c r="S14" s="309"/>
      <c r="T14" s="466"/>
      <c r="U14" s="324"/>
      <c r="V14" s="324"/>
      <c r="W14" s="324"/>
      <c r="X14" s="467"/>
      <c r="Y14" s="309"/>
      <c r="Z14" s="309"/>
      <c r="AA14" s="319"/>
    </row>
    <row r="15" spans="1:27" ht="33" customHeight="1" x14ac:dyDescent="0.3">
      <c r="A15" s="309"/>
      <c r="B15" s="455"/>
      <c r="C15" s="322"/>
      <c r="D15" s="322"/>
      <c r="E15" s="322"/>
      <c r="F15" s="458"/>
      <c r="G15" s="309"/>
      <c r="H15" s="455"/>
      <c r="I15" s="322"/>
      <c r="J15" s="322"/>
      <c r="K15" s="322"/>
      <c r="L15" s="458"/>
      <c r="M15" s="309"/>
      <c r="N15" s="455"/>
      <c r="O15" s="318"/>
      <c r="P15" s="318"/>
      <c r="Q15" s="318"/>
      <c r="R15" s="458"/>
      <c r="S15" s="309"/>
      <c r="T15" s="455"/>
      <c r="U15" s="318"/>
      <c r="V15" s="318"/>
      <c r="W15" s="318"/>
      <c r="X15" s="458"/>
      <c r="Y15" s="309"/>
      <c r="Z15" s="309"/>
      <c r="AA15" s="323" t="s">
        <v>289</v>
      </c>
    </row>
    <row r="16" spans="1:27" ht="6" customHeight="1" x14ac:dyDescent="0.3">
      <c r="A16" s="309"/>
      <c r="B16" s="456"/>
      <c r="C16" s="320"/>
      <c r="D16" s="320"/>
      <c r="E16" s="320"/>
      <c r="F16" s="459"/>
      <c r="G16" s="309"/>
      <c r="H16" s="456"/>
      <c r="I16" s="320"/>
      <c r="J16" s="320"/>
      <c r="K16" s="320"/>
      <c r="L16" s="459"/>
      <c r="M16" s="309"/>
      <c r="N16" s="456"/>
      <c r="O16" s="320"/>
      <c r="P16" s="320"/>
      <c r="Q16" s="320"/>
      <c r="R16" s="459"/>
      <c r="S16" s="309"/>
      <c r="T16" s="456"/>
      <c r="U16" s="320"/>
      <c r="V16" s="320"/>
      <c r="W16" s="320"/>
      <c r="X16" s="459"/>
      <c r="Y16" s="309"/>
      <c r="Z16" s="309"/>
      <c r="AA16" s="319"/>
    </row>
    <row r="17" spans="1:27" ht="6" customHeight="1" thickBot="1" x14ac:dyDescent="0.35">
      <c r="A17" s="309"/>
      <c r="B17" s="466"/>
      <c r="C17" s="324"/>
      <c r="D17" s="324"/>
      <c r="E17" s="324"/>
      <c r="F17" s="467"/>
      <c r="G17" s="309"/>
      <c r="H17" s="466"/>
      <c r="I17" s="324"/>
      <c r="J17" s="324"/>
      <c r="K17" s="324"/>
      <c r="L17" s="467"/>
      <c r="M17" s="309"/>
      <c r="N17" s="466"/>
      <c r="O17" s="324"/>
      <c r="P17" s="324"/>
      <c r="Q17" s="324"/>
      <c r="R17" s="467"/>
      <c r="S17" s="309"/>
      <c r="T17" s="466"/>
      <c r="U17" s="324"/>
      <c r="V17" s="324"/>
      <c r="W17" s="324"/>
      <c r="X17" s="467"/>
      <c r="Y17" s="309"/>
      <c r="Z17" s="309"/>
      <c r="AA17" s="319"/>
    </row>
    <row r="18" spans="1:27" ht="33" customHeight="1" thickTop="1" x14ac:dyDescent="0.3">
      <c r="A18" s="309"/>
      <c r="B18" s="455"/>
      <c r="C18" s="318"/>
      <c r="D18" s="318"/>
      <c r="E18" s="318"/>
      <c r="F18" s="458"/>
      <c r="G18" s="309"/>
      <c r="H18" s="455"/>
      <c r="I18" s="318"/>
      <c r="J18" s="318"/>
      <c r="K18" s="318"/>
      <c r="L18" s="458"/>
      <c r="M18" s="309"/>
      <c r="N18" s="455"/>
      <c r="O18" s="322"/>
      <c r="P18" s="322"/>
      <c r="Q18" s="322"/>
      <c r="R18" s="458"/>
      <c r="S18" s="309"/>
      <c r="T18" s="455"/>
      <c r="U18" s="322"/>
      <c r="V18" s="322"/>
      <c r="W18" s="322"/>
      <c r="X18" s="458"/>
      <c r="Y18" s="325"/>
      <c r="Z18" s="322"/>
      <c r="AA18" s="323" t="s">
        <v>290</v>
      </c>
    </row>
    <row r="19" spans="1:27" ht="6" customHeight="1" thickBot="1" x14ac:dyDescent="0.35">
      <c r="A19" s="309"/>
      <c r="B19" s="468"/>
      <c r="C19" s="326"/>
      <c r="D19" s="326"/>
      <c r="E19" s="326"/>
      <c r="F19" s="469"/>
      <c r="G19" s="309"/>
      <c r="H19" s="468"/>
      <c r="I19" s="326"/>
      <c r="J19" s="326"/>
      <c r="K19" s="326"/>
      <c r="L19" s="469"/>
      <c r="M19" s="309"/>
      <c r="N19" s="468"/>
      <c r="O19" s="326"/>
      <c r="P19" s="326"/>
      <c r="Q19" s="326"/>
      <c r="R19" s="469"/>
      <c r="S19" s="309"/>
      <c r="T19" s="468"/>
      <c r="U19" s="326"/>
      <c r="V19" s="326"/>
      <c r="W19" s="326"/>
      <c r="X19" s="469"/>
      <c r="Y19" s="327"/>
      <c r="Z19" s="322"/>
    </row>
    <row r="20" spans="1:27" x14ac:dyDescent="0.3">
      <c r="Y20" s="328"/>
      <c r="Z20" s="329"/>
    </row>
    <row r="21" spans="1:27" ht="19.5" thickBot="1" x14ac:dyDescent="0.35">
      <c r="B21" s="309"/>
      <c r="C21" s="309"/>
      <c r="E21" s="309"/>
      <c r="F21" s="309"/>
      <c r="G21" s="309"/>
      <c r="H21" s="309"/>
      <c r="I21" s="309"/>
      <c r="K21" s="309"/>
      <c r="L21" s="309"/>
      <c r="M21" s="309"/>
      <c r="S21" s="309"/>
      <c r="Y21" s="327"/>
      <c r="Z21" s="322"/>
    </row>
    <row r="22" spans="1:27" ht="6" customHeight="1" x14ac:dyDescent="0.3">
      <c r="B22" s="454"/>
      <c r="C22" s="315"/>
      <c r="D22" s="315"/>
      <c r="E22" s="315"/>
      <c r="F22" s="457"/>
      <c r="G22" s="309"/>
      <c r="H22" s="454"/>
      <c r="I22" s="315"/>
      <c r="J22" s="315"/>
      <c r="K22" s="315"/>
      <c r="L22" s="457"/>
      <c r="M22" s="309"/>
      <c r="N22" s="460"/>
      <c r="O22" s="316"/>
      <c r="P22" s="315"/>
      <c r="Q22" s="316"/>
      <c r="R22" s="463"/>
      <c r="S22" s="309"/>
      <c r="T22" s="460"/>
      <c r="U22" s="316"/>
      <c r="V22" s="315"/>
      <c r="W22" s="316"/>
      <c r="X22" s="463"/>
      <c r="Y22" s="327"/>
      <c r="Z22" s="322"/>
    </row>
    <row r="23" spans="1:27" ht="33" customHeight="1" x14ac:dyDescent="0.3">
      <c r="A23" s="317" t="s">
        <v>291</v>
      </c>
      <c r="B23" s="455"/>
      <c r="C23" s="318"/>
      <c r="D23" s="318"/>
      <c r="E23" s="318"/>
      <c r="F23" s="458"/>
      <c r="G23" s="309"/>
      <c r="H23" s="455"/>
      <c r="I23" s="318"/>
      <c r="J23" s="318"/>
      <c r="K23" s="318"/>
      <c r="L23" s="458"/>
      <c r="M23" s="309"/>
      <c r="N23" s="461"/>
      <c r="O23" s="329"/>
      <c r="P23" s="322"/>
      <c r="Q23" s="318"/>
      <c r="R23" s="464"/>
      <c r="S23" s="309"/>
      <c r="T23" s="461"/>
      <c r="U23" s="329"/>
      <c r="V23" s="322"/>
      <c r="W23" s="318"/>
      <c r="X23" s="464"/>
      <c r="Y23" s="327"/>
      <c r="Z23" s="322"/>
    </row>
    <row r="24" spans="1:27" ht="6" customHeight="1" x14ac:dyDescent="0.3">
      <c r="B24" s="456"/>
      <c r="C24" s="320"/>
      <c r="D24" s="320"/>
      <c r="E24" s="320"/>
      <c r="F24" s="459"/>
      <c r="G24" s="309"/>
      <c r="H24" s="456"/>
      <c r="I24" s="320"/>
      <c r="J24" s="320"/>
      <c r="K24" s="320"/>
      <c r="L24" s="459"/>
      <c r="M24" s="309"/>
      <c r="N24" s="462"/>
      <c r="O24" s="321"/>
      <c r="P24" s="320"/>
      <c r="Q24" s="330"/>
      <c r="R24" s="465"/>
      <c r="S24" s="309"/>
      <c r="T24" s="462"/>
      <c r="U24" s="321"/>
      <c r="V24" s="320"/>
      <c r="W24" s="330"/>
      <c r="X24" s="465"/>
      <c r="Y24" s="327"/>
      <c r="Z24" s="322"/>
    </row>
    <row r="25" spans="1:27" ht="6" customHeight="1" x14ac:dyDescent="0.3">
      <c r="B25" s="455"/>
      <c r="C25" s="322"/>
      <c r="D25" s="322"/>
      <c r="E25" s="322"/>
      <c r="F25" s="458"/>
      <c r="G25" s="309"/>
      <c r="H25" s="455"/>
      <c r="I25" s="322"/>
      <c r="J25" s="322"/>
      <c r="K25" s="322"/>
      <c r="L25" s="458"/>
      <c r="M25" s="309"/>
      <c r="N25" s="461"/>
      <c r="O25" s="329"/>
      <c r="P25" s="322"/>
      <c r="Q25" s="318"/>
      <c r="R25" s="464"/>
      <c r="S25" s="309"/>
      <c r="T25" s="461"/>
      <c r="U25" s="329"/>
      <c r="V25" s="322"/>
      <c r="W25" s="318"/>
      <c r="X25" s="464"/>
      <c r="Y25" s="327"/>
      <c r="Z25" s="322"/>
    </row>
    <row r="26" spans="1:27" ht="33" customHeight="1" x14ac:dyDescent="0.3">
      <c r="B26" s="455"/>
      <c r="C26" s="318"/>
      <c r="D26" s="318"/>
      <c r="E26" s="318"/>
      <c r="F26" s="458"/>
      <c r="G26" s="309"/>
      <c r="H26" s="455"/>
      <c r="I26" s="318"/>
      <c r="J26" s="318"/>
      <c r="K26" s="318"/>
      <c r="L26" s="458"/>
      <c r="M26" s="309"/>
      <c r="N26" s="461"/>
      <c r="O26" s="318"/>
      <c r="P26" s="322"/>
      <c r="Q26" s="318"/>
      <c r="R26" s="464"/>
      <c r="S26" s="309"/>
      <c r="T26" s="461"/>
      <c r="U26" s="318"/>
      <c r="V26" s="322"/>
      <c r="W26" s="318"/>
      <c r="X26" s="464"/>
      <c r="Y26" s="327"/>
      <c r="Z26" s="322"/>
    </row>
    <row r="27" spans="1:27" ht="6" customHeight="1" x14ac:dyDescent="0.3">
      <c r="B27" s="456"/>
      <c r="C27" s="320"/>
      <c r="D27" s="320"/>
      <c r="E27" s="320"/>
      <c r="F27" s="459"/>
      <c r="G27" s="309"/>
      <c r="H27" s="456"/>
      <c r="I27" s="320"/>
      <c r="J27" s="320"/>
      <c r="K27" s="320"/>
      <c r="L27" s="459"/>
      <c r="M27" s="309"/>
      <c r="N27" s="462"/>
      <c r="O27" s="330"/>
      <c r="P27" s="320"/>
      <c r="Q27" s="321"/>
      <c r="R27" s="465"/>
      <c r="S27" s="309"/>
      <c r="T27" s="462"/>
      <c r="U27" s="330"/>
      <c r="V27" s="320"/>
      <c r="W27" s="321"/>
      <c r="X27" s="465"/>
      <c r="Y27" s="327"/>
      <c r="Z27" s="322"/>
    </row>
    <row r="28" spans="1:27" ht="6" customHeight="1" x14ac:dyDescent="0.3">
      <c r="B28" s="466"/>
      <c r="C28" s="324"/>
      <c r="D28" s="324"/>
      <c r="E28" s="324"/>
      <c r="F28" s="467"/>
      <c r="G28" s="309"/>
      <c r="H28" s="466"/>
      <c r="I28" s="324"/>
      <c r="J28" s="324"/>
      <c r="K28" s="324"/>
      <c r="L28" s="467"/>
      <c r="M28" s="309"/>
      <c r="N28" s="470"/>
      <c r="O28" s="331"/>
      <c r="P28" s="324"/>
      <c r="Q28" s="332"/>
      <c r="R28" s="471"/>
      <c r="S28" s="309"/>
      <c r="T28" s="470"/>
      <c r="U28" s="331"/>
      <c r="V28" s="324"/>
      <c r="W28" s="332"/>
      <c r="X28" s="471"/>
      <c r="Y28" s="327"/>
      <c r="Z28" s="322"/>
    </row>
    <row r="29" spans="1:27" ht="33" customHeight="1" x14ac:dyDescent="0.3">
      <c r="B29" s="455"/>
      <c r="C29" s="322"/>
      <c r="D29" s="322"/>
      <c r="E29" s="322"/>
      <c r="F29" s="458"/>
      <c r="G29" s="309"/>
      <c r="H29" s="455"/>
      <c r="I29" s="322"/>
      <c r="J29" s="322"/>
      <c r="K29" s="322"/>
      <c r="L29" s="458"/>
      <c r="M29" s="309"/>
      <c r="N29" s="461"/>
      <c r="O29" s="318"/>
      <c r="P29" s="322"/>
      <c r="Q29" s="318"/>
      <c r="R29" s="464"/>
      <c r="S29" s="309"/>
      <c r="T29" s="461"/>
      <c r="U29" s="318"/>
      <c r="V29" s="322"/>
      <c r="W29" s="318"/>
      <c r="X29" s="464"/>
      <c r="Y29" s="327"/>
      <c r="Z29" s="322"/>
    </row>
    <row r="30" spans="1:27" ht="6" customHeight="1" x14ac:dyDescent="0.3">
      <c r="B30" s="456"/>
      <c r="C30" s="320"/>
      <c r="D30" s="320"/>
      <c r="E30" s="320"/>
      <c r="F30" s="459"/>
      <c r="G30" s="309"/>
      <c r="H30" s="456"/>
      <c r="I30" s="320"/>
      <c r="J30" s="320"/>
      <c r="K30" s="320"/>
      <c r="L30" s="459"/>
      <c r="M30" s="309"/>
      <c r="N30" s="462"/>
      <c r="O30" s="321"/>
      <c r="P30" s="320"/>
      <c r="Q30" s="330"/>
      <c r="R30" s="465"/>
      <c r="S30" s="309"/>
      <c r="T30" s="462"/>
      <c r="U30" s="321"/>
      <c r="V30" s="320"/>
      <c r="W30" s="330"/>
      <c r="X30" s="465"/>
      <c r="Y30" s="327"/>
      <c r="Z30" s="322"/>
    </row>
    <row r="31" spans="1:27" ht="6" customHeight="1" x14ac:dyDescent="0.3">
      <c r="B31" s="466"/>
      <c r="C31" s="324"/>
      <c r="D31" s="324"/>
      <c r="E31" s="324"/>
      <c r="F31" s="467"/>
      <c r="G31" s="309"/>
      <c r="H31" s="466"/>
      <c r="I31" s="324"/>
      <c r="J31" s="324"/>
      <c r="K31" s="324"/>
      <c r="L31" s="467"/>
      <c r="M31" s="309"/>
      <c r="N31" s="470"/>
      <c r="O31" s="332"/>
      <c r="P31" s="324"/>
      <c r="Q31" s="331"/>
      <c r="R31" s="471"/>
      <c r="S31" s="309"/>
      <c r="T31" s="470"/>
      <c r="U31" s="332"/>
      <c r="V31" s="324"/>
      <c r="W31" s="331"/>
      <c r="X31" s="471"/>
      <c r="Y31" s="327"/>
      <c r="Z31" s="322"/>
    </row>
    <row r="32" spans="1:27" ht="33" customHeight="1" x14ac:dyDescent="0.3">
      <c r="B32" s="455"/>
      <c r="C32" s="318"/>
      <c r="D32" s="318"/>
      <c r="E32" s="318"/>
      <c r="F32" s="458"/>
      <c r="G32" s="309"/>
      <c r="H32" s="455"/>
      <c r="I32" s="318"/>
      <c r="J32" s="318"/>
      <c r="K32" s="318"/>
      <c r="L32" s="458"/>
      <c r="M32" s="309"/>
      <c r="N32" s="461"/>
      <c r="O32" s="318"/>
      <c r="P32" s="322"/>
      <c r="Q32" s="318"/>
      <c r="R32" s="464"/>
      <c r="S32" s="309"/>
      <c r="T32" s="461"/>
      <c r="U32" s="318"/>
      <c r="V32" s="322"/>
      <c r="W32" s="318"/>
      <c r="X32" s="464"/>
      <c r="Y32" s="327"/>
      <c r="Z32" s="322"/>
    </row>
    <row r="33" spans="1:27" ht="6" customHeight="1" x14ac:dyDescent="0.3">
      <c r="B33" s="456"/>
      <c r="C33" s="320"/>
      <c r="D33" s="320"/>
      <c r="E33" s="320"/>
      <c r="F33" s="459"/>
      <c r="G33" s="309"/>
      <c r="H33" s="456"/>
      <c r="I33" s="320"/>
      <c r="J33" s="320"/>
      <c r="K33" s="320"/>
      <c r="L33" s="459"/>
      <c r="M33" s="309"/>
      <c r="N33" s="462"/>
      <c r="O33" s="330"/>
      <c r="P33" s="320"/>
      <c r="Q33" s="321"/>
      <c r="R33" s="465"/>
      <c r="S33" s="309"/>
      <c r="T33" s="462"/>
      <c r="U33" s="330"/>
      <c r="V33" s="320"/>
      <c r="W33" s="321"/>
      <c r="X33" s="465"/>
      <c r="Y33" s="327"/>
      <c r="Z33" s="322"/>
    </row>
    <row r="34" spans="1:27" ht="6" customHeight="1" x14ac:dyDescent="0.3">
      <c r="B34" s="466"/>
      <c r="C34" s="324"/>
      <c r="D34" s="324"/>
      <c r="E34" s="324"/>
      <c r="F34" s="467"/>
      <c r="G34" s="309"/>
      <c r="H34" s="466"/>
      <c r="I34" s="324"/>
      <c r="J34" s="324"/>
      <c r="K34" s="324"/>
      <c r="L34" s="467"/>
      <c r="M34" s="309"/>
      <c r="N34" s="470"/>
      <c r="O34" s="331"/>
      <c r="P34" s="324"/>
      <c r="Q34" s="332"/>
      <c r="R34" s="471"/>
      <c r="S34" s="309"/>
      <c r="T34" s="470"/>
      <c r="U34" s="331"/>
      <c r="V34" s="324"/>
      <c r="W34" s="332"/>
      <c r="X34" s="471"/>
      <c r="Y34" s="327"/>
      <c r="Z34" s="322"/>
    </row>
    <row r="35" spans="1:27" ht="33" customHeight="1" x14ac:dyDescent="0.3">
      <c r="B35" s="455"/>
      <c r="C35" s="318"/>
      <c r="D35" s="318"/>
      <c r="E35" s="318"/>
      <c r="F35" s="458"/>
      <c r="G35" s="309"/>
      <c r="H35" s="455"/>
      <c r="I35" s="318"/>
      <c r="J35" s="318"/>
      <c r="K35" s="318"/>
      <c r="L35" s="458"/>
      <c r="M35" s="309"/>
      <c r="N35" s="461"/>
      <c r="O35" s="318"/>
      <c r="P35" s="322"/>
      <c r="Q35" s="329"/>
      <c r="R35" s="464"/>
      <c r="S35" s="309"/>
      <c r="T35" s="461"/>
      <c r="U35" s="318"/>
      <c r="V35" s="322"/>
      <c r="W35" s="329"/>
      <c r="X35" s="464"/>
      <c r="Y35" s="327"/>
      <c r="Z35" s="319" t="s">
        <v>292</v>
      </c>
    </row>
    <row r="36" spans="1:27" ht="6" customHeight="1" x14ac:dyDescent="0.3">
      <c r="B36" s="456"/>
      <c r="C36" s="320"/>
      <c r="D36" s="320"/>
      <c r="E36" s="320"/>
      <c r="F36" s="459"/>
      <c r="G36" s="309"/>
      <c r="H36" s="456"/>
      <c r="I36" s="320"/>
      <c r="J36" s="320"/>
      <c r="K36" s="320"/>
      <c r="L36" s="459"/>
      <c r="M36" s="309"/>
      <c r="N36" s="462"/>
      <c r="O36" s="321"/>
      <c r="P36" s="320"/>
      <c r="Q36" s="321"/>
      <c r="R36" s="465"/>
      <c r="S36" s="309"/>
      <c r="T36" s="462"/>
      <c r="U36" s="321"/>
      <c r="V36" s="320"/>
      <c r="W36" s="321"/>
      <c r="X36" s="465"/>
      <c r="Y36" s="327"/>
      <c r="Z36" s="322"/>
    </row>
    <row r="37" spans="1:27" ht="6" customHeight="1" x14ac:dyDescent="0.3">
      <c r="B37" s="455"/>
      <c r="C37" s="322"/>
      <c r="D37" s="322"/>
      <c r="E37" s="322"/>
      <c r="F37" s="458"/>
      <c r="G37" s="309"/>
      <c r="H37" s="455"/>
      <c r="I37" s="322"/>
      <c r="J37" s="322"/>
      <c r="K37" s="322"/>
      <c r="L37" s="458"/>
      <c r="M37" s="309"/>
      <c r="N37" s="461"/>
      <c r="O37" s="329"/>
      <c r="P37" s="322"/>
      <c r="Q37" s="329"/>
      <c r="R37" s="464"/>
      <c r="S37" s="309"/>
      <c r="T37" s="461"/>
      <c r="U37" s="329"/>
      <c r="V37" s="322"/>
      <c r="W37" s="329"/>
      <c r="X37" s="464"/>
      <c r="Y37" s="327"/>
      <c r="Z37" s="322"/>
    </row>
    <row r="38" spans="1:27" ht="33" customHeight="1" x14ac:dyDescent="0.3">
      <c r="B38" s="455"/>
      <c r="C38" s="318"/>
      <c r="D38" s="318"/>
      <c r="E38" s="318"/>
      <c r="F38" s="458"/>
      <c r="G38" s="309"/>
      <c r="H38" s="455"/>
      <c r="I38" s="318"/>
      <c r="J38" s="322"/>
      <c r="K38" s="322"/>
      <c r="L38" s="458"/>
      <c r="M38" s="309"/>
      <c r="N38" s="461"/>
      <c r="O38" s="318"/>
      <c r="P38" s="322"/>
      <c r="Q38" s="329"/>
      <c r="R38" s="464"/>
      <c r="S38" s="309"/>
      <c r="T38" s="461"/>
      <c r="U38" s="329"/>
      <c r="V38" s="322"/>
      <c r="W38" s="329"/>
      <c r="X38" s="464"/>
      <c r="Y38" s="327"/>
      <c r="Z38" s="322"/>
    </row>
    <row r="39" spans="1:27" ht="6" customHeight="1" x14ac:dyDescent="0.3">
      <c r="B39" s="455"/>
      <c r="C39" s="322"/>
      <c r="D39" s="322"/>
      <c r="E39" s="322"/>
      <c r="F39" s="458"/>
      <c r="G39" s="309"/>
      <c r="H39" s="455"/>
      <c r="I39" s="318"/>
      <c r="J39" s="322"/>
      <c r="K39" s="322"/>
      <c r="L39" s="458"/>
      <c r="M39" s="309"/>
      <c r="N39" s="461"/>
      <c r="O39" s="318"/>
      <c r="P39" s="322"/>
      <c r="Q39" s="329"/>
      <c r="R39" s="464"/>
      <c r="S39" s="309"/>
      <c r="T39" s="461"/>
      <c r="U39" s="329"/>
      <c r="V39" s="322"/>
      <c r="W39" s="329"/>
      <c r="X39" s="464"/>
      <c r="Y39" s="327"/>
      <c r="Z39" s="322"/>
    </row>
    <row r="40" spans="1:27" ht="6" customHeight="1" x14ac:dyDescent="0.3">
      <c r="B40" s="466"/>
      <c r="C40" s="324"/>
      <c r="D40" s="324"/>
      <c r="E40" s="324"/>
      <c r="F40" s="467"/>
      <c r="G40" s="309"/>
      <c r="H40" s="466"/>
      <c r="I40" s="331"/>
      <c r="J40" s="324"/>
      <c r="K40" s="324"/>
      <c r="L40" s="467"/>
      <c r="M40" s="309"/>
      <c r="N40" s="470"/>
      <c r="O40" s="331"/>
      <c r="P40" s="324"/>
      <c r="Q40" s="332"/>
      <c r="R40" s="471"/>
      <c r="S40" s="309"/>
      <c r="T40" s="470"/>
      <c r="U40" s="332"/>
      <c r="V40" s="324"/>
      <c r="W40" s="332"/>
      <c r="X40" s="471"/>
      <c r="Y40" s="327"/>
      <c r="Z40" s="322"/>
    </row>
    <row r="41" spans="1:27" ht="33" customHeight="1" x14ac:dyDescent="0.3">
      <c r="B41" s="455"/>
      <c r="C41" s="322"/>
      <c r="D41" s="322"/>
      <c r="E41" s="322"/>
      <c r="F41" s="458"/>
      <c r="G41" s="309"/>
      <c r="H41" s="455"/>
      <c r="I41" s="318"/>
      <c r="J41" s="322"/>
      <c r="K41" s="322"/>
      <c r="L41" s="458"/>
      <c r="M41" s="309"/>
      <c r="N41" s="461"/>
      <c r="O41" s="318"/>
      <c r="P41" s="322"/>
      <c r="Q41" s="329"/>
      <c r="R41" s="464"/>
      <c r="S41" s="309"/>
      <c r="T41" s="461"/>
      <c r="U41" s="329"/>
      <c r="V41" s="322"/>
      <c r="W41" s="329"/>
      <c r="X41" s="464"/>
      <c r="Y41" s="327"/>
      <c r="Z41" s="322"/>
    </row>
    <row r="42" spans="1:27" ht="6" customHeight="1" thickBot="1" x14ac:dyDescent="0.35">
      <c r="B42" s="468"/>
      <c r="C42" s="326"/>
      <c r="D42" s="326"/>
      <c r="E42" s="326"/>
      <c r="F42" s="469"/>
      <c r="G42" s="309"/>
      <c r="H42" s="468"/>
      <c r="I42" s="326"/>
      <c r="J42" s="326"/>
      <c r="K42" s="326"/>
      <c r="L42" s="469"/>
      <c r="M42" s="309"/>
      <c r="N42" s="472"/>
      <c r="O42" s="333"/>
      <c r="P42" s="326"/>
      <c r="Q42" s="333"/>
      <c r="R42" s="473"/>
      <c r="S42" s="309"/>
      <c r="T42" s="472"/>
      <c r="U42" s="333"/>
      <c r="V42" s="326"/>
      <c r="W42" s="333"/>
      <c r="X42" s="473"/>
      <c r="Y42" s="327"/>
      <c r="Z42" s="322"/>
    </row>
    <row r="43" spans="1:27" x14ac:dyDescent="0.3">
      <c r="B43" s="309"/>
      <c r="C43" s="309"/>
      <c r="E43" s="309"/>
      <c r="F43" s="309"/>
      <c r="G43" s="309"/>
      <c r="H43" s="309"/>
      <c r="I43" s="309"/>
      <c r="K43" s="309"/>
      <c r="L43" s="309"/>
      <c r="M43" s="309"/>
      <c r="S43" s="309"/>
      <c r="Y43" s="327"/>
      <c r="Z43" s="322"/>
    </row>
    <row r="44" spans="1:27" ht="19.5" thickBot="1" x14ac:dyDescent="0.35">
      <c r="Y44" s="328"/>
      <c r="Z44" s="329"/>
    </row>
    <row r="45" spans="1:27" ht="6" customHeight="1" x14ac:dyDescent="0.3">
      <c r="B45" s="460"/>
      <c r="C45" s="316"/>
      <c r="D45" s="315"/>
      <c r="E45" s="316"/>
      <c r="F45" s="463"/>
      <c r="G45" s="309"/>
      <c r="H45" s="454"/>
      <c r="I45" s="315"/>
      <c r="J45" s="315"/>
      <c r="K45" s="315"/>
      <c r="L45" s="457"/>
      <c r="M45" s="309"/>
      <c r="N45" s="454"/>
      <c r="O45" s="315"/>
      <c r="P45" s="315"/>
      <c r="Q45" s="315"/>
      <c r="R45" s="457"/>
      <c r="S45" s="309"/>
      <c r="T45" s="454"/>
      <c r="U45" s="315"/>
      <c r="V45" s="315"/>
      <c r="W45" s="315"/>
      <c r="X45" s="457"/>
      <c r="Y45" s="327"/>
      <c r="Z45" s="322"/>
    </row>
    <row r="46" spans="1:27" ht="33" customHeight="1" x14ac:dyDescent="0.3">
      <c r="A46" s="317" t="s">
        <v>293</v>
      </c>
      <c r="B46" s="461"/>
      <c r="C46" s="318"/>
      <c r="D46" s="322"/>
      <c r="E46" s="329"/>
      <c r="F46" s="464"/>
      <c r="G46" s="309"/>
      <c r="H46" s="455"/>
      <c r="I46" s="318"/>
      <c r="J46" s="318"/>
      <c r="K46" s="318"/>
      <c r="L46" s="458"/>
      <c r="M46" s="309"/>
      <c r="N46" s="455"/>
      <c r="O46" s="318"/>
      <c r="P46" s="318"/>
      <c r="Q46" s="318"/>
      <c r="R46" s="458"/>
      <c r="S46" s="309"/>
      <c r="T46" s="455"/>
      <c r="U46" s="318"/>
      <c r="V46" s="318"/>
      <c r="W46" s="318"/>
      <c r="X46" s="458"/>
      <c r="Y46" s="327"/>
      <c r="Z46" s="322"/>
      <c r="AA46" s="319" t="s">
        <v>294</v>
      </c>
    </row>
    <row r="47" spans="1:27" ht="6" customHeight="1" x14ac:dyDescent="0.3">
      <c r="B47" s="461"/>
      <c r="C47" s="318"/>
      <c r="D47" s="322"/>
      <c r="E47" s="329"/>
      <c r="F47" s="464"/>
      <c r="G47" s="309"/>
      <c r="H47" s="455"/>
      <c r="I47" s="322"/>
      <c r="J47" s="322"/>
      <c r="K47" s="322"/>
      <c r="L47" s="458"/>
      <c r="M47" s="309"/>
      <c r="N47" s="455"/>
      <c r="O47" s="322"/>
      <c r="P47" s="322"/>
      <c r="Q47" s="322"/>
      <c r="R47" s="458"/>
      <c r="S47" s="309"/>
      <c r="T47" s="455"/>
      <c r="U47" s="322"/>
      <c r="V47" s="322"/>
      <c r="W47" s="322"/>
      <c r="X47" s="458"/>
      <c r="Y47" s="327"/>
      <c r="Z47" s="322"/>
      <c r="AA47" s="319"/>
    </row>
    <row r="48" spans="1:27" ht="6" customHeight="1" x14ac:dyDescent="0.3">
      <c r="B48" s="470"/>
      <c r="C48" s="331"/>
      <c r="D48" s="324"/>
      <c r="E48" s="332"/>
      <c r="F48" s="471"/>
      <c r="G48" s="309"/>
      <c r="H48" s="466"/>
      <c r="I48" s="324"/>
      <c r="J48" s="324"/>
      <c r="K48" s="324"/>
      <c r="L48" s="467"/>
      <c r="M48" s="309"/>
      <c r="N48" s="466"/>
      <c r="O48" s="324"/>
      <c r="P48" s="324"/>
      <c r="Q48" s="324"/>
      <c r="R48" s="467"/>
      <c r="S48" s="309"/>
      <c r="T48" s="466"/>
      <c r="U48" s="324"/>
      <c r="V48" s="324"/>
      <c r="W48" s="324"/>
      <c r="X48" s="467"/>
      <c r="Y48" s="327"/>
      <c r="Z48" s="322"/>
      <c r="AA48" s="319"/>
    </row>
    <row r="49" spans="1:27" ht="33" customHeight="1" x14ac:dyDescent="0.3">
      <c r="B49" s="461"/>
      <c r="C49" s="318"/>
      <c r="D49" s="322"/>
      <c r="E49" s="329"/>
      <c r="F49" s="464"/>
      <c r="G49" s="309"/>
      <c r="H49" s="455"/>
      <c r="I49" s="318"/>
      <c r="J49" s="318"/>
      <c r="K49" s="318"/>
      <c r="L49" s="458"/>
      <c r="M49" s="309"/>
      <c r="N49" s="455"/>
      <c r="O49" s="318"/>
      <c r="P49" s="318"/>
      <c r="Q49" s="318"/>
      <c r="R49" s="458"/>
      <c r="S49" s="309"/>
      <c r="T49" s="455"/>
      <c r="U49" s="318"/>
      <c r="V49" s="318"/>
      <c r="W49" s="318"/>
      <c r="X49" s="458"/>
      <c r="Y49" s="327"/>
      <c r="Z49" s="322"/>
      <c r="AA49" s="319" t="s">
        <v>294</v>
      </c>
    </row>
    <row r="50" spans="1:27" ht="6" customHeight="1" thickBot="1" x14ac:dyDescent="0.35">
      <c r="B50" s="472"/>
      <c r="C50" s="333"/>
      <c r="D50" s="326"/>
      <c r="E50" s="333"/>
      <c r="F50" s="473"/>
      <c r="G50" s="309"/>
      <c r="H50" s="468"/>
      <c r="I50" s="326"/>
      <c r="J50" s="326"/>
      <c r="K50" s="326"/>
      <c r="L50" s="469"/>
      <c r="M50" s="309"/>
      <c r="N50" s="468"/>
      <c r="O50" s="326"/>
      <c r="P50" s="326"/>
      <c r="Q50" s="326"/>
      <c r="R50" s="469"/>
      <c r="S50" s="309"/>
      <c r="T50" s="468"/>
      <c r="U50" s="326"/>
      <c r="V50" s="326"/>
      <c r="W50" s="326"/>
      <c r="X50" s="469"/>
      <c r="Y50" s="327"/>
      <c r="Z50" s="322"/>
    </row>
    <row r="51" spans="1:27" x14ac:dyDescent="0.3">
      <c r="Y51" s="328"/>
      <c r="Z51" s="329"/>
    </row>
    <row r="52" spans="1:27" ht="19.5" thickBot="1" x14ac:dyDescent="0.35">
      <c r="Y52" s="328"/>
      <c r="Z52" s="329"/>
    </row>
    <row r="53" spans="1:27" ht="6" customHeight="1" x14ac:dyDescent="0.3">
      <c r="A53" s="309"/>
      <c r="B53" s="454"/>
      <c r="C53" s="315"/>
      <c r="D53" s="315"/>
      <c r="E53" s="315"/>
      <c r="F53" s="457"/>
      <c r="G53" s="309"/>
      <c r="H53" s="454"/>
      <c r="I53" s="315"/>
      <c r="J53" s="315"/>
      <c r="K53" s="315"/>
      <c r="L53" s="457"/>
      <c r="M53" s="309"/>
      <c r="N53" s="454"/>
      <c r="O53" s="315"/>
      <c r="P53" s="315"/>
      <c r="Q53" s="315"/>
      <c r="R53" s="457"/>
      <c r="S53" s="309"/>
      <c r="T53" s="454"/>
      <c r="U53" s="315"/>
      <c r="V53" s="315"/>
      <c r="W53" s="315"/>
      <c r="X53" s="457"/>
      <c r="Y53" s="327"/>
      <c r="Z53" s="322"/>
      <c r="AA53" s="319"/>
    </row>
    <row r="54" spans="1:27" ht="33" customHeight="1" thickBot="1" x14ac:dyDescent="0.35">
      <c r="A54" s="317" t="s">
        <v>295</v>
      </c>
      <c r="B54" s="455"/>
      <c r="C54" s="318"/>
      <c r="D54" s="318"/>
      <c r="E54" s="318"/>
      <c r="F54" s="458"/>
      <c r="G54" s="309"/>
      <c r="H54" s="455"/>
      <c r="I54" s="322"/>
      <c r="J54" s="322"/>
      <c r="K54" s="322"/>
      <c r="L54" s="458"/>
      <c r="M54" s="309"/>
      <c r="N54" s="455"/>
      <c r="O54" s="322"/>
      <c r="P54" s="322"/>
      <c r="Q54" s="322"/>
      <c r="R54" s="458"/>
      <c r="S54" s="309"/>
      <c r="T54" s="455"/>
      <c r="U54" s="322"/>
      <c r="V54" s="322"/>
      <c r="W54" s="322"/>
      <c r="X54" s="458"/>
      <c r="Y54" s="334"/>
      <c r="Z54" s="322"/>
      <c r="AA54" s="323" t="s">
        <v>296</v>
      </c>
    </row>
    <row r="55" spans="1:27" ht="6" customHeight="1" thickTop="1" thickBot="1" x14ac:dyDescent="0.35">
      <c r="A55" s="309"/>
      <c r="B55" s="468"/>
      <c r="C55" s="326"/>
      <c r="D55" s="326"/>
      <c r="E55" s="326"/>
      <c r="F55" s="469"/>
      <c r="G55" s="309"/>
      <c r="H55" s="468"/>
      <c r="I55" s="326"/>
      <c r="J55" s="326"/>
      <c r="K55" s="326"/>
      <c r="L55" s="469"/>
      <c r="M55" s="309"/>
      <c r="N55" s="468"/>
      <c r="O55" s="326"/>
      <c r="P55" s="326"/>
      <c r="Q55" s="326"/>
      <c r="R55" s="469"/>
      <c r="S55" s="309"/>
      <c r="T55" s="468"/>
      <c r="U55" s="326"/>
      <c r="V55" s="326"/>
      <c r="W55" s="326"/>
      <c r="X55" s="469"/>
      <c r="Y55" s="309"/>
      <c r="Z55" s="309"/>
      <c r="AA55" s="319"/>
    </row>
    <row r="57" spans="1:27" ht="19.5" thickBot="1" x14ac:dyDescent="0.35"/>
    <row r="58" spans="1:27" ht="6" customHeight="1" x14ac:dyDescent="0.3">
      <c r="B58" s="454"/>
      <c r="C58" s="335"/>
      <c r="D58" s="322"/>
      <c r="E58" s="322"/>
      <c r="F58" s="474"/>
      <c r="G58" s="322"/>
      <c r="H58" s="474"/>
      <c r="I58" s="322"/>
      <c r="J58" s="322"/>
      <c r="K58" s="322"/>
      <c r="L58" s="474"/>
      <c r="M58" s="322"/>
      <c r="N58" s="474"/>
      <c r="O58" s="322"/>
      <c r="P58" s="322"/>
      <c r="Q58" s="322"/>
      <c r="R58" s="474"/>
      <c r="S58" s="322"/>
      <c r="T58" s="474"/>
      <c r="U58" s="322"/>
      <c r="V58" s="322"/>
      <c r="W58" s="322"/>
      <c r="X58" s="474"/>
      <c r="Y58" s="322"/>
      <c r="Z58" s="322"/>
    </row>
    <row r="59" spans="1:27" ht="33" customHeight="1" x14ac:dyDescent="0.3">
      <c r="A59" s="317" t="s">
        <v>297</v>
      </c>
      <c r="B59" s="455"/>
      <c r="C59" s="336" t="s">
        <v>298</v>
      </c>
      <c r="D59" s="337"/>
      <c r="E59" s="322"/>
      <c r="F59" s="474"/>
      <c r="G59" s="317" t="s">
        <v>299</v>
      </c>
      <c r="H59" s="474"/>
      <c r="I59" s="322"/>
      <c r="J59" s="322"/>
      <c r="K59" s="322"/>
      <c r="L59" s="474"/>
      <c r="M59" s="322"/>
      <c r="N59" s="474"/>
      <c r="O59" s="322"/>
      <c r="P59" s="322"/>
      <c r="Q59" s="322"/>
      <c r="R59" s="474"/>
      <c r="S59" s="322"/>
      <c r="T59" s="474"/>
      <c r="U59" s="322"/>
      <c r="V59" s="322"/>
      <c r="W59" s="322"/>
      <c r="X59" s="474"/>
      <c r="Y59" s="322"/>
      <c r="Z59" s="322"/>
    </row>
    <row r="60" spans="1:27" ht="6" customHeight="1" thickBot="1" x14ac:dyDescent="0.35">
      <c r="B60" s="468"/>
      <c r="C60" s="338"/>
      <c r="D60" s="337"/>
      <c r="E60" s="322"/>
      <c r="F60" s="474"/>
      <c r="G60" s="322"/>
      <c r="H60" s="474"/>
      <c r="I60" s="322"/>
      <c r="J60" s="322"/>
      <c r="K60" s="322"/>
      <c r="L60" s="474"/>
      <c r="M60" s="322"/>
      <c r="N60" s="474"/>
      <c r="O60" s="322"/>
      <c r="P60" s="322"/>
      <c r="Q60" s="322"/>
      <c r="R60" s="474"/>
      <c r="S60" s="322"/>
      <c r="T60" s="474"/>
      <c r="U60" s="322"/>
      <c r="V60" s="322"/>
      <c r="W60" s="322"/>
      <c r="X60" s="474"/>
      <c r="Y60" s="322"/>
      <c r="Z60" s="322"/>
    </row>
    <row r="61" spans="1:27" ht="6" customHeight="1" x14ac:dyDescent="0.3">
      <c r="B61" s="454"/>
      <c r="C61" s="339"/>
      <c r="D61" s="337"/>
      <c r="E61" s="322"/>
      <c r="F61" s="474"/>
      <c r="G61" s="322"/>
      <c r="H61" s="474"/>
      <c r="I61" s="322"/>
      <c r="J61" s="322"/>
      <c r="K61" s="322"/>
      <c r="L61" s="474"/>
      <c r="M61" s="322"/>
      <c r="N61" s="474"/>
      <c r="O61" s="322"/>
      <c r="P61" s="322"/>
      <c r="Q61" s="322"/>
      <c r="R61" s="474"/>
      <c r="S61" s="322"/>
      <c r="T61" s="474"/>
      <c r="U61" s="322"/>
      <c r="V61" s="322"/>
      <c r="W61" s="322"/>
      <c r="X61" s="474"/>
      <c r="Y61" s="322"/>
      <c r="Z61" s="322"/>
    </row>
    <row r="62" spans="1:27" ht="33" customHeight="1" x14ac:dyDescent="0.3">
      <c r="B62" s="455"/>
      <c r="C62" s="336" t="s">
        <v>300</v>
      </c>
      <c r="D62" s="337"/>
      <c r="E62" s="322"/>
      <c r="F62" s="474"/>
      <c r="G62" s="322"/>
      <c r="H62" s="474"/>
      <c r="I62" s="322"/>
      <c r="J62" s="322"/>
      <c r="K62" s="322"/>
      <c r="L62" s="474"/>
      <c r="M62" s="322"/>
      <c r="N62" s="474"/>
      <c r="O62" s="322"/>
      <c r="P62" s="322"/>
      <c r="Q62" s="322"/>
      <c r="R62" s="474"/>
      <c r="S62" s="322"/>
      <c r="T62" s="474"/>
      <c r="U62" s="322"/>
      <c r="V62" s="322"/>
      <c r="W62" s="322"/>
      <c r="X62" s="474"/>
      <c r="Y62" s="322"/>
      <c r="Z62" s="322"/>
    </row>
    <row r="63" spans="1:27" ht="6" customHeight="1" thickBot="1" x14ac:dyDescent="0.35">
      <c r="B63" s="468"/>
      <c r="C63" s="338"/>
      <c r="D63" s="337"/>
      <c r="E63" s="322"/>
      <c r="F63" s="474"/>
      <c r="G63" s="322"/>
      <c r="H63" s="474"/>
      <c r="I63" s="322"/>
      <c r="J63" s="322"/>
      <c r="K63" s="322"/>
      <c r="L63" s="474"/>
      <c r="M63" s="322"/>
      <c r="N63" s="474"/>
      <c r="O63" s="322"/>
      <c r="P63" s="322"/>
      <c r="Q63" s="322"/>
      <c r="R63" s="474"/>
      <c r="S63" s="322"/>
      <c r="T63" s="474"/>
      <c r="U63" s="322"/>
      <c r="V63" s="322"/>
      <c r="W63" s="322"/>
      <c r="X63" s="474"/>
      <c r="Y63" s="322"/>
      <c r="Z63" s="322"/>
    </row>
    <row r="64" spans="1:27" ht="6" customHeight="1" x14ac:dyDescent="0.3">
      <c r="B64" s="340"/>
      <c r="C64" s="336"/>
      <c r="D64" s="337"/>
      <c r="E64" s="322"/>
      <c r="F64" s="341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spans="2:26" s="308" customFormat="1" ht="33" customHeight="1" x14ac:dyDescent="0.3">
      <c r="B65" s="340"/>
      <c r="C65" s="336" t="s">
        <v>301</v>
      </c>
      <c r="D65" s="337"/>
      <c r="E65" s="322"/>
      <c r="F65" s="341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spans="2:26" s="308" customFormat="1" ht="6" customHeight="1" thickBot="1" x14ac:dyDescent="0.35">
      <c r="B66" s="342"/>
      <c r="C66" s="343"/>
      <c r="D66" s="322"/>
      <c r="E66" s="322"/>
      <c r="F66" s="341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</sheetData>
  <mergeCells count="140"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08" customWidth="1"/>
    <col min="2" max="2" width="1.28515625" style="308" customWidth="1"/>
    <col min="3" max="3" width="6.85546875" style="308" customWidth="1"/>
    <col min="4" max="4" width="1.140625" style="309" customWidth="1"/>
    <col min="5" max="5" width="6.85546875" style="308" customWidth="1"/>
    <col min="6" max="6" width="1.28515625" style="308" customWidth="1"/>
    <col min="7" max="7" width="7.28515625" style="308" customWidth="1"/>
    <col min="8" max="8" width="13" style="308" customWidth="1"/>
    <col min="9" max="9" width="64.28515625" style="310" bestFit="1" customWidth="1"/>
    <col min="10" max="10" width="5" style="308" bestFit="1" customWidth="1"/>
    <col min="11" max="11" width="1.28515625" style="308" customWidth="1"/>
    <col min="12" max="12" width="6.85546875" style="308" customWidth="1"/>
    <col min="13" max="13" width="1.140625" style="309" customWidth="1"/>
    <col min="14" max="14" width="6.85546875" style="308" customWidth="1"/>
    <col min="15" max="15" width="1.28515625" style="308" customWidth="1"/>
    <col min="16" max="16" width="7.28515625" style="308" customWidth="1"/>
    <col min="17" max="17" width="47" style="345" bestFit="1" customWidth="1"/>
    <col min="18" max="18" width="7.140625" style="308" customWidth="1"/>
    <col min="19" max="19" width="5" style="308" bestFit="1" customWidth="1"/>
    <col min="20" max="20" width="1.28515625" style="308" customWidth="1"/>
    <col min="21" max="21" width="6.85546875" style="308" customWidth="1"/>
    <col min="22" max="22" width="1.140625" style="309" customWidth="1"/>
    <col min="23" max="23" width="6.85546875" style="308" customWidth="1"/>
    <col min="24" max="24" width="1.28515625" style="308" customWidth="1"/>
    <col min="25" max="25" width="7.28515625" style="308" customWidth="1"/>
    <col min="26" max="26" width="47" style="344" bestFit="1" customWidth="1"/>
    <col min="27" max="16384" width="11.42578125" style="308"/>
  </cols>
  <sheetData>
    <row r="1" spans="1:26" s="311" customFormat="1" ht="46.5" customHeight="1" x14ac:dyDescent="0.3">
      <c r="C1" s="475" t="s">
        <v>302</v>
      </c>
      <c r="D1" s="475"/>
      <c r="E1" s="475"/>
      <c r="F1" s="475"/>
      <c r="G1" s="475"/>
      <c r="H1" s="475"/>
      <c r="I1" s="475"/>
      <c r="L1" s="453"/>
      <c r="M1" s="453"/>
      <c r="N1" s="453"/>
      <c r="O1" s="312"/>
      <c r="P1" s="313"/>
      <c r="Q1" s="312" t="s">
        <v>303</v>
      </c>
      <c r="U1" s="453"/>
      <c r="V1" s="453"/>
      <c r="W1" s="453"/>
      <c r="X1" s="312"/>
      <c r="Y1" s="313"/>
      <c r="Z1" s="344"/>
    </row>
    <row r="2" spans="1:26" ht="25.5" customHeight="1" thickBot="1" x14ac:dyDescent="0.35">
      <c r="G2" s="309"/>
      <c r="H2" s="309"/>
      <c r="P2" s="309"/>
      <c r="Y2" s="309"/>
    </row>
    <row r="3" spans="1:26" ht="6" customHeight="1" thickBot="1" x14ac:dyDescent="0.35">
      <c r="B3" s="460"/>
      <c r="C3" s="316"/>
      <c r="D3" s="315"/>
      <c r="E3" s="316"/>
      <c r="F3" s="463"/>
      <c r="G3" s="309"/>
      <c r="H3" s="309"/>
      <c r="K3" s="460"/>
      <c r="L3" s="316"/>
      <c r="M3" s="315"/>
      <c r="N3" s="316"/>
      <c r="O3" s="463"/>
      <c r="P3" s="309"/>
      <c r="T3" s="460"/>
      <c r="U3" s="316"/>
      <c r="V3" s="315"/>
      <c r="W3" s="316"/>
      <c r="X3" s="463"/>
      <c r="Y3" s="309"/>
    </row>
    <row r="4" spans="1:26" ht="33" customHeight="1" x14ac:dyDescent="0.3">
      <c r="A4" s="317" t="s">
        <v>285</v>
      </c>
      <c r="B4" s="461"/>
      <c r="C4" s="318"/>
      <c r="D4" s="318"/>
      <c r="E4" s="318"/>
      <c r="F4" s="464"/>
      <c r="G4" s="309"/>
      <c r="H4" s="309"/>
      <c r="I4" s="319" t="s">
        <v>286</v>
      </c>
      <c r="J4" s="317" t="s">
        <v>285</v>
      </c>
      <c r="K4" s="461"/>
      <c r="L4" s="318"/>
      <c r="M4" s="318"/>
      <c r="N4" s="318"/>
      <c r="O4" s="464"/>
      <c r="P4" s="309"/>
      <c r="Q4" s="346" t="s">
        <v>304</v>
      </c>
      <c r="S4" s="317" t="s">
        <v>285</v>
      </c>
      <c r="T4" s="461"/>
      <c r="U4" s="322"/>
      <c r="V4" s="322"/>
      <c r="W4" s="322"/>
      <c r="X4" s="464"/>
      <c r="Y4" s="309"/>
      <c r="Z4" s="347" t="s">
        <v>305</v>
      </c>
    </row>
    <row r="5" spans="1:26" ht="6" customHeight="1" x14ac:dyDescent="0.3">
      <c r="B5" s="462"/>
      <c r="C5" s="321"/>
      <c r="D5" s="320"/>
      <c r="E5" s="321"/>
      <c r="F5" s="465"/>
      <c r="G5" s="309"/>
      <c r="H5" s="309"/>
      <c r="I5" s="319"/>
      <c r="K5" s="462"/>
      <c r="L5" s="321"/>
      <c r="M5" s="320"/>
      <c r="N5" s="321"/>
      <c r="O5" s="465"/>
      <c r="P5" s="309"/>
      <c r="Q5" s="348"/>
      <c r="T5" s="462"/>
      <c r="U5" s="321"/>
      <c r="V5" s="320"/>
      <c r="W5" s="321"/>
      <c r="X5" s="465"/>
      <c r="Y5" s="309"/>
      <c r="Z5" s="349"/>
    </row>
    <row r="6" spans="1:26" ht="6" customHeight="1" x14ac:dyDescent="0.3">
      <c r="A6" s="309"/>
      <c r="B6" s="455"/>
      <c r="C6" s="322"/>
      <c r="D6" s="322"/>
      <c r="E6" s="322"/>
      <c r="F6" s="458"/>
      <c r="G6" s="309"/>
      <c r="H6" s="309"/>
      <c r="I6" s="319"/>
      <c r="K6" s="455"/>
      <c r="L6" s="322"/>
      <c r="M6" s="322"/>
      <c r="N6" s="322"/>
      <c r="O6" s="458"/>
      <c r="P6" s="309"/>
      <c r="Q6" s="348"/>
      <c r="T6" s="455"/>
      <c r="U6" s="322"/>
      <c r="V6" s="322"/>
      <c r="W6" s="322"/>
      <c r="X6" s="458"/>
      <c r="Y6" s="309"/>
      <c r="Z6" s="349"/>
    </row>
    <row r="7" spans="1:26" ht="33" customHeight="1" x14ac:dyDescent="0.3">
      <c r="A7" s="309"/>
      <c r="B7" s="455"/>
      <c r="C7" s="322"/>
      <c r="D7" s="322"/>
      <c r="E7" s="322"/>
      <c r="F7" s="458"/>
      <c r="G7" s="309"/>
      <c r="H7" s="309"/>
      <c r="I7" s="323" t="s">
        <v>287</v>
      </c>
      <c r="K7" s="455"/>
      <c r="L7" s="322"/>
      <c r="M7" s="322"/>
      <c r="N7" s="322"/>
      <c r="O7" s="458"/>
      <c r="P7" s="309"/>
      <c r="Q7" s="348" t="s">
        <v>306</v>
      </c>
      <c r="T7" s="455"/>
      <c r="U7" s="350"/>
      <c r="V7" s="350"/>
      <c r="W7" s="350"/>
      <c r="X7" s="458"/>
      <c r="Y7" s="309"/>
      <c r="Z7" s="349" t="s">
        <v>307</v>
      </c>
    </row>
    <row r="8" spans="1:26" ht="6" customHeight="1" x14ac:dyDescent="0.3">
      <c r="A8" s="309"/>
      <c r="B8" s="456"/>
      <c r="C8" s="320"/>
      <c r="D8" s="320"/>
      <c r="E8" s="320"/>
      <c r="F8" s="459"/>
      <c r="G8" s="309"/>
      <c r="H8" s="309"/>
      <c r="I8" s="319"/>
      <c r="K8" s="456"/>
      <c r="L8" s="320"/>
      <c r="M8" s="320"/>
      <c r="N8" s="320"/>
      <c r="O8" s="459"/>
      <c r="P8" s="309"/>
      <c r="Q8" s="348"/>
      <c r="T8" s="456"/>
      <c r="U8" s="320"/>
      <c r="V8" s="320"/>
      <c r="W8" s="320"/>
      <c r="X8" s="459"/>
      <c r="Y8" s="309"/>
      <c r="Z8" s="349"/>
    </row>
    <row r="9" spans="1:26" ht="6" customHeight="1" x14ac:dyDescent="0.3">
      <c r="A9" s="309"/>
      <c r="B9" s="466"/>
      <c r="C9" s="324"/>
      <c r="D9" s="324"/>
      <c r="E9" s="324"/>
      <c r="F9" s="467"/>
      <c r="G9" s="309"/>
      <c r="H9" s="309"/>
      <c r="I9" s="319"/>
      <c r="K9" s="466"/>
      <c r="L9" s="324"/>
      <c r="M9" s="324"/>
      <c r="N9" s="324"/>
      <c r="O9" s="467"/>
      <c r="P9" s="309"/>
      <c r="Q9" s="348"/>
      <c r="T9" s="466"/>
      <c r="U9" s="324"/>
      <c r="V9" s="324"/>
      <c r="W9" s="324"/>
      <c r="X9" s="467"/>
      <c r="Y9" s="309"/>
      <c r="Z9" s="349"/>
    </row>
    <row r="10" spans="1:26" ht="33" customHeight="1" x14ac:dyDescent="0.3">
      <c r="A10" s="309"/>
      <c r="B10" s="455"/>
      <c r="C10" s="322"/>
      <c r="D10" s="322"/>
      <c r="E10" s="322"/>
      <c r="F10" s="458"/>
      <c r="G10" s="309"/>
      <c r="H10" s="309"/>
      <c r="I10" s="323" t="s">
        <v>288</v>
      </c>
      <c r="K10" s="455"/>
      <c r="L10" s="322"/>
      <c r="M10" s="322"/>
      <c r="N10" s="322"/>
      <c r="O10" s="458"/>
      <c r="P10" s="309"/>
      <c r="Q10" s="348" t="s">
        <v>308</v>
      </c>
      <c r="T10" s="455"/>
      <c r="U10" s="350"/>
      <c r="V10" s="350"/>
      <c r="W10" s="350"/>
      <c r="X10" s="458"/>
      <c r="Y10" s="309"/>
      <c r="Z10" s="349" t="s">
        <v>309</v>
      </c>
    </row>
    <row r="11" spans="1:26" ht="6" customHeight="1" x14ac:dyDescent="0.3">
      <c r="A11" s="309"/>
      <c r="B11" s="456"/>
      <c r="C11" s="320"/>
      <c r="D11" s="320"/>
      <c r="E11" s="320"/>
      <c r="F11" s="459"/>
      <c r="G11" s="309"/>
      <c r="H11" s="309"/>
      <c r="I11" s="319"/>
      <c r="K11" s="456"/>
      <c r="L11" s="320"/>
      <c r="M11" s="320"/>
      <c r="N11" s="320"/>
      <c r="O11" s="459"/>
      <c r="P11" s="309"/>
      <c r="Q11" s="348"/>
      <c r="T11" s="456"/>
      <c r="U11" s="320"/>
      <c r="V11" s="320"/>
      <c r="W11" s="320"/>
      <c r="X11" s="459"/>
      <c r="Y11" s="309"/>
      <c r="Z11" s="349"/>
    </row>
    <row r="12" spans="1:26" ht="6" customHeight="1" x14ac:dyDescent="0.3">
      <c r="A12" s="309"/>
      <c r="B12" s="466"/>
      <c r="C12" s="324"/>
      <c r="D12" s="324"/>
      <c r="E12" s="324"/>
      <c r="F12" s="467"/>
      <c r="G12" s="309"/>
      <c r="H12" s="309"/>
      <c r="I12" s="319"/>
      <c r="K12" s="466"/>
      <c r="L12" s="324"/>
      <c r="M12" s="324"/>
      <c r="N12" s="324"/>
      <c r="O12" s="467"/>
      <c r="P12" s="309"/>
      <c r="Q12" s="348"/>
      <c r="T12" s="466"/>
      <c r="U12" s="324"/>
      <c r="V12" s="324"/>
      <c r="W12" s="324"/>
      <c r="X12" s="467"/>
      <c r="Y12" s="309"/>
      <c r="Z12" s="349"/>
    </row>
    <row r="13" spans="1:26" ht="33" customHeight="1" thickBot="1" x14ac:dyDescent="0.35">
      <c r="A13" s="309"/>
      <c r="B13" s="455"/>
      <c r="C13" s="318"/>
      <c r="D13" s="318"/>
      <c r="E13" s="318"/>
      <c r="F13" s="458"/>
      <c r="G13" s="309"/>
      <c r="H13" s="309"/>
      <c r="I13" s="323" t="s">
        <v>289</v>
      </c>
      <c r="K13" s="455"/>
      <c r="L13" s="350"/>
      <c r="M13" s="350"/>
      <c r="N13" s="350"/>
      <c r="O13" s="458"/>
      <c r="Q13" s="351" t="s">
        <v>310</v>
      </c>
      <c r="T13" s="455"/>
      <c r="U13" s="322"/>
      <c r="V13" s="322"/>
      <c r="W13" s="322"/>
      <c r="X13" s="458"/>
      <c r="Z13" s="352" t="s">
        <v>311</v>
      </c>
    </row>
    <row r="14" spans="1:26" ht="6" customHeight="1" x14ac:dyDescent="0.3">
      <c r="A14" s="309"/>
      <c r="B14" s="456"/>
      <c r="C14" s="320"/>
      <c r="D14" s="320"/>
      <c r="E14" s="320"/>
      <c r="F14" s="459"/>
      <c r="G14" s="309"/>
      <c r="H14" s="309"/>
      <c r="I14" s="319"/>
      <c r="K14" s="456"/>
      <c r="L14" s="320"/>
      <c r="M14" s="320"/>
      <c r="N14" s="320"/>
      <c r="O14" s="459"/>
      <c r="T14" s="456"/>
      <c r="U14" s="320"/>
      <c r="V14" s="320"/>
      <c r="W14" s="320"/>
      <c r="X14" s="459"/>
    </row>
    <row r="15" spans="1:26" ht="6" customHeight="1" thickBot="1" x14ac:dyDescent="0.35">
      <c r="A15" s="309"/>
      <c r="B15" s="466"/>
      <c r="C15" s="324"/>
      <c r="D15" s="324"/>
      <c r="E15" s="324"/>
      <c r="F15" s="467"/>
      <c r="G15" s="309"/>
      <c r="H15" s="309"/>
      <c r="I15" s="319"/>
      <c r="K15" s="466"/>
      <c r="L15" s="324"/>
      <c r="M15" s="324"/>
      <c r="N15" s="324"/>
      <c r="O15" s="467"/>
      <c r="T15" s="466"/>
      <c r="U15" s="324"/>
      <c r="V15" s="324"/>
      <c r="W15" s="324"/>
      <c r="X15" s="467"/>
    </row>
    <row r="16" spans="1:26" ht="33" customHeight="1" thickTop="1" x14ac:dyDescent="0.3">
      <c r="A16" s="309"/>
      <c r="B16" s="455"/>
      <c r="C16" s="322"/>
      <c r="D16" s="322"/>
      <c r="E16" s="322"/>
      <c r="F16" s="458"/>
      <c r="G16" s="325"/>
      <c r="H16" s="322"/>
      <c r="I16" s="323" t="s">
        <v>312</v>
      </c>
      <c r="K16" s="455"/>
      <c r="L16" s="322"/>
      <c r="M16" s="322"/>
      <c r="N16" s="322"/>
      <c r="O16" s="458"/>
      <c r="T16" s="455"/>
      <c r="U16" s="322"/>
      <c r="V16" s="322"/>
      <c r="W16" s="322"/>
      <c r="X16" s="458"/>
    </row>
    <row r="17" spans="1:26" ht="6" customHeight="1" thickBot="1" x14ac:dyDescent="0.35">
      <c r="A17" s="309"/>
      <c r="B17" s="468"/>
      <c r="C17" s="326"/>
      <c r="D17" s="326"/>
      <c r="E17" s="326"/>
      <c r="F17" s="469"/>
      <c r="G17" s="327"/>
      <c r="H17" s="322"/>
      <c r="K17" s="468"/>
      <c r="L17" s="326"/>
      <c r="M17" s="326"/>
      <c r="N17" s="326"/>
      <c r="O17" s="469"/>
      <c r="T17" s="468"/>
      <c r="U17" s="326"/>
      <c r="V17" s="326"/>
      <c r="W17" s="326"/>
      <c r="X17" s="469"/>
    </row>
    <row r="18" spans="1:26" ht="6" customHeight="1" x14ac:dyDescent="0.3">
      <c r="C18" s="329"/>
      <c r="D18" s="322"/>
      <c r="E18" s="329"/>
      <c r="G18" s="327"/>
      <c r="H18" s="322"/>
      <c r="M18" s="308"/>
      <c r="Q18" s="353"/>
      <c r="V18" s="308"/>
      <c r="Z18" s="354"/>
    </row>
    <row r="19" spans="1:26" ht="33" customHeight="1" x14ac:dyDescent="0.3">
      <c r="C19" s="329"/>
      <c r="D19" s="322"/>
      <c r="E19" s="329"/>
      <c r="G19" s="327"/>
      <c r="H19" s="322"/>
      <c r="M19" s="308"/>
      <c r="Q19" s="353"/>
      <c r="V19" s="308"/>
      <c r="Z19" s="354"/>
    </row>
    <row r="20" spans="1:26" ht="6" customHeight="1" thickBot="1" x14ac:dyDescent="0.35">
      <c r="C20" s="333"/>
      <c r="D20" s="326"/>
      <c r="E20" s="333"/>
      <c r="G20" s="327"/>
      <c r="H20" s="322"/>
      <c r="M20" s="308"/>
      <c r="Q20" s="353"/>
      <c r="V20" s="308"/>
      <c r="Z20" s="354"/>
    </row>
    <row r="21" spans="1:26" ht="6" customHeight="1" thickBot="1" x14ac:dyDescent="0.35">
      <c r="B21" s="460"/>
      <c r="C21" s="316"/>
      <c r="D21" s="315"/>
      <c r="E21" s="316"/>
      <c r="F21" s="463"/>
      <c r="G21" s="327"/>
      <c r="H21" s="322"/>
      <c r="K21" s="460"/>
      <c r="L21" s="316"/>
      <c r="M21" s="315"/>
      <c r="N21" s="316"/>
      <c r="O21" s="463"/>
      <c r="P21" s="309"/>
      <c r="T21" s="460"/>
      <c r="U21" s="316"/>
      <c r="V21" s="315"/>
      <c r="W21" s="316"/>
      <c r="X21" s="463"/>
      <c r="Y21" s="309"/>
    </row>
    <row r="22" spans="1:26" ht="33" customHeight="1" x14ac:dyDescent="0.3">
      <c r="A22" s="317" t="s">
        <v>291</v>
      </c>
      <c r="B22" s="461"/>
      <c r="C22" s="329"/>
      <c r="D22" s="322"/>
      <c r="E22" s="318"/>
      <c r="F22" s="464"/>
      <c r="G22" s="327"/>
      <c r="H22" s="322"/>
      <c r="J22" s="317" t="s">
        <v>285</v>
      </c>
      <c r="K22" s="461"/>
      <c r="L22" s="318"/>
      <c r="M22" s="318"/>
      <c r="N22" s="318"/>
      <c r="O22" s="464"/>
      <c r="P22" s="309"/>
      <c r="Q22" s="346" t="s">
        <v>313</v>
      </c>
      <c r="S22" s="317" t="s">
        <v>285</v>
      </c>
      <c r="T22" s="461"/>
      <c r="U22" s="322"/>
      <c r="V22" s="322"/>
      <c r="W22" s="322"/>
      <c r="X22" s="464"/>
      <c r="Y22" s="309"/>
      <c r="Z22" s="347" t="s">
        <v>305</v>
      </c>
    </row>
    <row r="23" spans="1:26" ht="6" customHeight="1" x14ac:dyDescent="0.3">
      <c r="B23" s="462"/>
      <c r="C23" s="321"/>
      <c r="D23" s="320"/>
      <c r="E23" s="330"/>
      <c r="F23" s="465"/>
      <c r="G23" s="327"/>
      <c r="H23" s="322"/>
      <c r="K23" s="462"/>
      <c r="L23" s="321"/>
      <c r="M23" s="320"/>
      <c r="N23" s="321"/>
      <c r="O23" s="465"/>
      <c r="P23" s="309"/>
      <c r="Q23" s="348"/>
      <c r="T23" s="462"/>
      <c r="U23" s="321"/>
      <c r="V23" s="320"/>
      <c r="W23" s="321"/>
      <c r="X23" s="465"/>
      <c r="Y23" s="309"/>
      <c r="Z23" s="349"/>
    </row>
    <row r="24" spans="1:26" ht="6" customHeight="1" x14ac:dyDescent="0.3">
      <c r="B24" s="461"/>
      <c r="C24" s="329"/>
      <c r="D24" s="322"/>
      <c r="E24" s="318"/>
      <c r="F24" s="464"/>
      <c r="G24" s="327"/>
      <c r="H24" s="322"/>
      <c r="K24" s="455"/>
      <c r="L24" s="322"/>
      <c r="M24" s="322"/>
      <c r="N24" s="322"/>
      <c r="O24" s="458"/>
      <c r="P24" s="309"/>
      <c r="Q24" s="348"/>
      <c r="T24" s="455"/>
      <c r="U24" s="322"/>
      <c r="V24" s="322"/>
      <c r="W24" s="322"/>
      <c r="X24" s="458"/>
      <c r="Y24" s="309"/>
      <c r="Z24" s="349"/>
    </row>
    <row r="25" spans="1:26" ht="33" customHeight="1" x14ac:dyDescent="0.3">
      <c r="B25" s="461"/>
      <c r="C25" s="318"/>
      <c r="D25" s="322"/>
      <c r="E25" s="318"/>
      <c r="F25" s="464"/>
      <c r="G25" s="327"/>
      <c r="H25" s="322"/>
      <c r="K25" s="455"/>
      <c r="L25" s="318"/>
      <c r="M25" s="318"/>
      <c r="N25" s="318"/>
      <c r="O25" s="458"/>
      <c r="P25" s="309"/>
      <c r="Q25" s="348" t="s">
        <v>314</v>
      </c>
      <c r="T25" s="455"/>
      <c r="U25" s="350"/>
      <c r="V25" s="350"/>
      <c r="W25" s="350"/>
      <c r="X25" s="458"/>
      <c r="Y25" s="309"/>
      <c r="Z25" s="349" t="s">
        <v>307</v>
      </c>
    </row>
    <row r="26" spans="1:26" ht="6" customHeight="1" x14ac:dyDescent="0.3">
      <c r="B26" s="462"/>
      <c r="C26" s="330"/>
      <c r="D26" s="320"/>
      <c r="E26" s="321"/>
      <c r="F26" s="465"/>
      <c r="G26" s="327"/>
      <c r="H26" s="322"/>
      <c r="K26" s="456"/>
      <c r="L26" s="320"/>
      <c r="M26" s="320"/>
      <c r="N26" s="320"/>
      <c r="O26" s="459"/>
      <c r="P26" s="309"/>
      <c r="Q26" s="348"/>
      <c r="T26" s="456"/>
      <c r="U26" s="320"/>
      <c r="V26" s="320"/>
      <c r="W26" s="320"/>
      <c r="X26" s="459"/>
      <c r="Y26" s="309"/>
      <c r="Z26" s="349"/>
    </row>
    <row r="27" spans="1:26" ht="6" customHeight="1" x14ac:dyDescent="0.3">
      <c r="B27" s="470"/>
      <c r="C27" s="331"/>
      <c r="D27" s="324"/>
      <c r="E27" s="332"/>
      <c r="F27" s="471"/>
      <c r="G27" s="327"/>
      <c r="H27" s="322"/>
      <c r="K27" s="466"/>
      <c r="L27" s="324"/>
      <c r="M27" s="324"/>
      <c r="N27" s="324"/>
      <c r="O27" s="467"/>
      <c r="P27" s="309"/>
      <c r="Q27" s="348"/>
      <c r="T27" s="466"/>
      <c r="U27" s="324"/>
      <c r="V27" s="324"/>
      <c r="W27" s="324"/>
      <c r="X27" s="467"/>
      <c r="Y27" s="309"/>
      <c r="Z27" s="349"/>
    </row>
    <row r="28" spans="1:26" ht="33" customHeight="1" x14ac:dyDescent="0.3">
      <c r="B28" s="461"/>
      <c r="C28" s="318"/>
      <c r="D28" s="322"/>
      <c r="E28" s="318"/>
      <c r="F28" s="464"/>
      <c r="G28" s="327"/>
      <c r="H28" s="322"/>
      <c r="K28" s="455"/>
      <c r="L28" s="318"/>
      <c r="M28" s="318"/>
      <c r="N28" s="318"/>
      <c r="O28" s="458"/>
      <c r="P28" s="309"/>
      <c r="Q28" s="348" t="s">
        <v>315</v>
      </c>
      <c r="T28" s="455"/>
      <c r="U28" s="318"/>
      <c r="V28" s="318"/>
      <c r="W28" s="318"/>
      <c r="X28" s="458"/>
      <c r="Y28" s="309"/>
      <c r="Z28" s="349" t="s">
        <v>316</v>
      </c>
    </row>
    <row r="29" spans="1:26" ht="6" customHeight="1" x14ac:dyDescent="0.3">
      <c r="B29" s="462"/>
      <c r="C29" s="321"/>
      <c r="D29" s="320"/>
      <c r="E29" s="330"/>
      <c r="F29" s="465"/>
      <c r="G29" s="327"/>
      <c r="H29" s="322"/>
      <c r="K29" s="456"/>
      <c r="L29" s="320"/>
      <c r="M29" s="320"/>
      <c r="N29" s="320"/>
      <c r="O29" s="459"/>
      <c r="P29" s="309"/>
      <c r="Q29" s="348"/>
      <c r="T29" s="456"/>
      <c r="U29" s="320"/>
      <c r="V29" s="320"/>
      <c r="W29" s="320"/>
      <c r="X29" s="459"/>
      <c r="Y29" s="309"/>
      <c r="Z29" s="349"/>
    </row>
    <row r="30" spans="1:26" ht="6" customHeight="1" x14ac:dyDescent="0.3">
      <c r="B30" s="470"/>
      <c r="C30" s="332"/>
      <c r="D30" s="324"/>
      <c r="E30" s="331"/>
      <c r="F30" s="471"/>
      <c r="G30" s="327"/>
      <c r="H30" s="322"/>
      <c r="K30" s="466"/>
      <c r="L30" s="324"/>
      <c r="M30" s="324"/>
      <c r="N30" s="324"/>
      <c r="O30" s="467"/>
      <c r="P30" s="309"/>
      <c r="Q30" s="348"/>
      <c r="T30" s="466"/>
      <c r="U30" s="324"/>
      <c r="V30" s="324"/>
      <c r="W30" s="324"/>
      <c r="X30" s="467"/>
      <c r="Y30" s="309"/>
      <c r="Z30" s="349"/>
    </row>
    <row r="31" spans="1:26" ht="33" customHeight="1" thickBot="1" x14ac:dyDescent="0.35">
      <c r="B31" s="461"/>
      <c r="C31" s="318"/>
      <c r="D31" s="322"/>
      <c r="E31" s="318"/>
      <c r="F31" s="464"/>
      <c r="G31" s="327"/>
      <c r="H31" s="322"/>
      <c r="K31" s="455"/>
      <c r="L31" s="350"/>
      <c r="M31" s="350"/>
      <c r="N31" s="350"/>
      <c r="O31" s="458"/>
      <c r="Q31" s="351" t="s">
        <v>317</v>
      </c>
      <c r="T31" s="455"/>
      <c r="U31" s="318"/>
      <c r="V31" s="318"/>
      <c r="W31" s="318"/>
      <c r="X31" s="458"/>
      <c r="Z31" s="352" t="s">
        <v>318</v>
      </c>
    </row>
    <row r="32" spans="1:26" ht="6" customHeight="1" x14ac:dyDescent="0.3">
      <c r="B32" s="462"/>
      <c r="C32" s="330"/>
      <c r="D32" s="320"/>
      <c r="E32" s="321"/>
      <c r="F32" s="465"/>
      <c r="G32" s="327"/>
      <c r="H32" s="322"/>
      <c r="K32" s="456"/>
      <c r="L32" s="320"/>
      <c r="M32" s="320"/>
      <c r="N32" s="320"/>
      <c r="O32" s="459"/>
      <c r="T32" s="456"/>
      <c r="U32" s="320"/>
      <c r="V32" s="320"/>
      <c r="W32" s="320"/>
      <c r="X32" s="459"/>
    </row>
    <row r="33" spans="1:26" ht="6" customHeight="1" x14ac:dyDescent="0.3">
      <c r="B33" s="470"/>
      <c r="C33" s="331"/>
      <c r="D33" s="324"/>
      <c r="E33" s="332"/>
      <c r="F33" s="471"/>
      <c r="G33" s="327"/>
      <c r="H33" s="322"/>
      <c r="K33" s="466"/>
      <c r="L33" s="324"/>
      <c r="M33" s="324"/>
      <c r="N33" s="324"/>
      <c r="O33" s="467"/>
      <c r="T33" s="466"/>
      <c r="U33" s="324"/>
      <c r="V33" s="324"/>
      <c r="W33" s="324"/>
      <c r="X33" s="467"/>
    </row>
    <row r="34" spans="1:26" ht="33" customHeight="1" x14ac:dyDescent="0.3">
      <c r="B34" s="461"/>
      <c r="C34" s="318"/>
      <c r="D34" s="322"/>
      <c r="E34" s="329"/>
      <c r="F34" s="464"/>
      <c r="G34" s="327"/>
      <c r="H34" s="319" t="s">
        <v>292</v>
      </c>
      <c r="K34" s="455"/>
      <c r="L34" s="322"/>
      <c r="M34" s="322"/>
      <c r="N34" s="322"/>
      <c r="O34" s="458"/>
      <c r="T34" s="455"/>
      <c r="U34" s="322"/>
      <c r="V34" s="322"/>
      <c r="W34" s="322"/>
      <c r="X34" s="458"/>
    </row>
    <row r="35" spans="1:26" ht="6" customHeight="1" thickBot="1" x14ac:dyDescent="0.35">
      <c r="B35" s="462"/>
      <c r="C35" s="321"/>
      <c r="D35" s="320"/>
      <c r="E35" s="321"/>
      <c r="F35" s="465"/>
      <c r="G35" s="327"/>
      <c r="H35" s="322"/>
      <c r="K35" s="468"/>
      <c r="L35" s="326"/>
      <c r="M35" s="326"/>
      <c r="N35" s="326"/>
      <c r="O35" s="469"/>
      <c r="T35" s="468"/>
      <c r="U35" s="326"/>
      <c r="V35" s="326"/>
      <c r="W35" s="326"/>
      <c r="X35" s="469"/>
    </row>
    <row r="36" spans="1:26" ht="6" customHeight="1" x14ac:dyDescent="0.3">
      <c r="B36" s="461"/>
      <c r="C36" s="329"/>
      <c r="D36" s="322"/>
      <c r="E36" s="329"/>
      <c r="F36" s="464"/>
      <c r="G36" s="327"/>
      <c r="H36" s="322"/>
      <c r="M36" s="308"/>
      <c r="V36" s="308"/>
    </row>
    <row r="37" spans="1:26" ht="33" customHeight="1" x14ac:dyDescent="0.3">
      <c r="B37" s="461"/>
      <c r="C37" s="329"/>
      <c r="D37" s="322"/>
      <c r="E37" s="329"/>
      <c r="F37" s="464"/>
      <c r="G37" s="327"/>
      <c r="H37" s="322"/>
      <c r="M37" s="308"/>
      <c r="V37" s="308"/>
    </row>
    <row r="38" spans="1:26" ht="6" customHeight="1" thickBot="1" x14ac:dyDescent="0.35">
      <c r="B38" s="461"/>
      <c r="C38" s="329"/>
      <c r="D38" s="322"/>
      <c r="E38" s="329"/>
      <c r="F38" s="464"/>
      <c r="G38" s="327"/>
      <c r="H38" s="322"/>
      <c r="M38" s="308"/>
      <c r="Q38" s="353"/>
      <c r="V38" s="308"/>
      <c r="Z38" s="354"/>
    </row>
    <row r="39" spans="1:26" ht="6" customHeight="1" thickBot="1" x14ac:dyDescent="0.35">
      <c r="B39" s="470"/>
      <c r="C39" s="332"/>
      <c r="D39" s="324"/>
      <c r="E39" s="332"/>
      <c r="F39" s="471"/>
      <c r="G39" s="327"/>
      <c r="H39" s="322"/>
      <c r="K39" s="460"/>
      <c r="L39" s="316"/>
      <c r="M39" s="315"/>
      <c r="N39" s="316"/>
      <c r="O39" s="463"/>
      <c r="P39" s="309"/>
      <c r="T39" s="460"/>
      <c r="U39" s="316"/>
      <c r="V39" s="315"/>
      <c r="W39" s="316"/>
      <c r="X39" s="463"/>
      <c r="Y39" s="309"/>
    </row>
    <row r="40" spans="1:26" ht="33" customHeight="1" x14ac:dyDescent="0.3">
      <c r="B40" s="461"/>
      <c r="C40" s="329"/>
      <c r="D40" s="322"/>
      <c r="E40" s="329"/>
      <c r="F40" s="464"/>
      <c r="G40" s="327"/>
      <c r="H40" s="322"/>
      <c r="J40" s="317" t="s">
        <v>285</v>
      </c>
      <c r="K40" s="461"/>
      <c r="L40" s="350"/>
      <c r="M40" s="350"/>
      <c r="N40" s="350"/>
      <c r="O40" s="464"/>
      <c r="P40" s="309"/>
      <c r="Q40" s="346" t="s">
        <v>319</v>
      </c>
      <c r="S40" s="317" t="s">
        <v>285</v>
      </c>
      <c r="T40" s="461"/>
      <c r="U40" s="322"/>
      <c r="V40" s="322"/>
      <c r="W40" s="322"/>
      <c r="X40" s="464"/>
      <c r="Y40" s="309"/>
      <c r="Z40" s="347" t="s">
        <v>305</v>
      </c>
    </row>
    <row r="41" spans="1:26" ht="6" customHeight="1" thickBot="1" x14ac:dyDescent="0.35">
      <c r="B41" s="472"/>
      <c r="C41" s="333"/>
      <c r="D41" s="326"/>
      <c r="E41" s="333"/>
      <c r="F41" s="473"/>
      <c r="G41" s="327"/>
      <c r="H41" s="322"/>
      <c r="K41" s="462"/>
      <c r="L41" s="321"/>
      <c r="M41" s="320"/>
      <c r="N41" s="321"/>
      <c r="O41" s="465"/>
      <c r="P41" s="309"/>
      <c r="Q41" s="348"/>
      <c r="T41" s="462"/>
      <c r="U41" s="321"/>
      <c r="V41" s="320"/>
      <c r="W41" s="321"/>
      <c r="X41" s="465"/>
      <c r="Y41" s="309"/>
      <c r="Z41" s="349"/>
    </row>
    <row r="42" spans="1:26" ht="6" customHeight="1" x14ac:dyDescent="0.3">
      <c r="C42" s="329"/>
      <c r="D42" s="322"/>
      <c r="E42" s="329"/>
      <c r="G42" s="327"/>
      <c r="H42" s="322"/>
      <c r="K42" s="455"/>
      <c r="L42" s="322"/>
      <c r="M42" s="322"/>
      <c r="N42" s="322"/>
      <c r="O42" s="458"/>
      <c r="P42" s="309"/>
      <c r="Q42" s="348"/>
      <c r="T42" s="455"/>
      <c r="U42" s="322"/>
      <c r="V42" s="322"/>
      <c r="W42" s="322"/>
      <c r="X42" s="458"/>
      <c r="Y42" s="309"/>
      <c r="Z42" s="349"/>
    </row>
    <row r="43" spans="1:26" ht="33" customHeight="1" thickBot="1" x14ac:dyDescent="0.35">
      <c r="C43" s="329"/>
      <c r="D43" s="322"/>
      <c r="E43" s="329"/>
      <c r="G43" s="327"/>
      <c r="H43" s="322"/>
      <c r="K43" s="455"/>
      <c r="L43" s="350"/>
      <c r="M43" s="350"/>
      <c r="N43" s="350"/>
      <c r="O43" s="458"/>
      <c r="P43" s="309"/>
      <c r="Q43" s="351" t="s">
        <v>320</v>
      </c>
      <c r="T43" s="455"/>
      <c r="U43" s="350"/>
      <c r="V43" s="350"/>
      <c r="W43" s="350"/>
      <c r="X43" s="458"/>
      <c r="Y43" s="309"/>
      <c r="Z43" s="349" t="s">
        <v>307</v>
      </c>
    </row>
    <row r="44" spans="1:26" ht="6" customHeight="1" thickBot="1" x14ac:dyDescent="0.35">
      <c r="C44" s="333"/>
      <c r="D44" s="326"/>
      <c r="E44" s="333"/>
      <c r="G44" s="327"/>
      <c r="H44" s="322"/>
      <c r="K44" s="456"/>
      <c r="L44" s="320"/>
      <c r="M44" s="320"/>
      <c r="N44" s="320"/>
      <c r="O44" s="459"/>
      <c r="P44" s="309"/>
      <c r="T44" s="456"/>
      <c r="U44" s="320"/>
      <c r="V44" s="320"/>
      <c r="W44" s="320"/>
      <c r="X44" s="459"/>
      <c r="Y44" s="309"/>
      <c r="Z44" s="349"/>
    </row>
    <row r="45" spans="1:26" ht="6" customHeight="1" x14ac:dyDescent="0.3">
      <c r="B45" s="454"/>
      <c r="C45" s="315"/>
      <c r="D45" s="315"/>
      <c r="E45" s="315"/>
      <c r="F45" s="457"/>
      <c r="G45" s="327"/>
      <c r="H45" s="322"/>
      <c r="K45" s="466"/>
      <c r="L45" s="324"/>
      <c r="M45" s="324"/>
      <c r="N45" s="324"/>
      <c r="O45" s="467"/>
      <c r="P45" s="309"/>
      <c r="T45" s="466"/>
      <c r="U45" s="324"/>
      <c r="V45" s="324"/>
      <c r="W45" s="324"/>
      <c r="X45" s="467"/>
      <c r="Y45" s="309"/>
      <c r="Z45" s="349"/>
    </row>
    <row r="46" spans="1:26" ht="33" customHeight="1" x14ac:dyDescent="0.3">
      <c r="A46" s="317" t="s">
        <v>293</v>
      </c>
      <c r="B46" s="455"/>
      <c r="C46" s="318"/>
      <c r="D46" s="318"/>
      <c r="E46" s="318"/>
      <c r="F46" s="458"/>
      <c r="G46" s="327"/>
      <c r="H46" s="322"/>
      <c r="I46" s="319" t="s">
        <v>294</v>
      </c>
      <c r="K46" s="455"/>
      <c r="L46" s="350"/>
      <c r="M46" s="350"/>
      <c r="N46" s="350"/>
      <c r="O46" s="458"/>
      <c r="P46" s="309"/>
      <c r="T46" s="455"/>
      <c r="U46" s="322"/>
      <c r="V46" s="322"/>
      <c r="W46" s="322"/>
      <c r="X46" s="458"/>
      <c r="Y46" s="309"/>
      <c r="Z46" s="349" t="s">
        <v>321</v>
      </c>
    </row>
    <row r="47" spans="1:26" ht="6" customHeight="1" x14ac:dyDescent="0.3">
      <c r="B47" s="455"/>
      <c r="C47" s="322"/>
      <c r="D47" s="322"/>
      <c r="E47" s="322"/>
      <c r="F47" s="458"/>
      <c r="G47" s="327"/>
      <c r="H47" s="322"/>
      <c r="I47" s="319"/>
      <c r="K47" s="456"/>
      <c r="L47" s="320"/>
      <c r="M47" s="320"/>
      <c r="N47" s="320"/>
      <c r="O47" s="459"/>
      <c r="P47" s="309"/>
      <c r="T47" s="456"/>
      <c r="U47" s="320"/>
      <c r="V47" s="320"/>
      <c r="W47" s="320"/>
      <c r="X47" s="459"/>
      <c r="Y47" s="309"/>
      <c r="Z47" s="349"/>
    </row>
    <row r="48" spans="1:26" ht="6" customHeight="1" x14ac:dyDescent="0.3">
      <c r="B48" s="466"/>
      <c r="C48" s="324"/>
      <c r="D48" s="324"/>
      <c r="E48" s="324"/>
      <c r="F48" s="467"/>
      <c r="G48" s="327"/>
      <c r="H48" s="322"/>
      <c r="I48" s="319"/>
      <c r="K48" s="466"/>
      <c r="L48" s="324"/>
      <c r="M48" s="324"/>
      <c r="N48" s="324"/>
      <c r="O48" s="467"/>
      <c r="P48" s="309"/>
      <c r="T48" s="466"/>
      <c r="U48" s="324"/>
      <c r="V48" s="324"/>
      <c r="W48" s="324"/>
      <c r="X48" s="467"/>
      <c r="Y48" s="309"/>
      <c r="Z48" s="349"/>
    </row>
    <row r="49" spans="1:26" ht="33" customHeight="1" thickBot="1" x14ac:dyDescent="0.35">
      <c r="B49" s="455"/>
      <c r="C49" s="318"/>
      <c r="D49" s="318"/>
      <c r="E49" s="318"/>
      <c r="F49" s="458"/>
      <c r="G49" s="327"/>
      <c r="H49" s="322"/>
      <c r="I49" s="319" t="s">
        <v>294</v>
      </c>
      <c r="K49" s="455"/>
      <c r="L49" s="350"/>
      <c r="M49" s="350"/>
      <c r="N49" s="350"/>
      <c r="O49" s="458"/>
      <c r="T49" s="455"/>
      <c r="U49" s="318"/>
      <c r="V49" s="318"/>
      <c r="W49" s="318"/>
      <c r="X49" s="458"/>
      <c r="Z49" s="352" t="s">
        <v>318</v>
      </c>
    </row>
    <row r="50" spans="1:26" ht="6" customHeight="1" thickBot="1" x14ac:dyDescent="0.35">
      <c r="B50" s="468"/>
      <c r="C50" s="326"/>
      <c r="D50" s="326"/>
      <c r="E50" s="326"/>
      <c r="F50" s="469"/>
      <c r="G50" s="327"/>
      <c r="H50" s="322"/>
      <c r="K50" s="456"/>
      <c r="L50" s="320"/>
      <c r="M50" s="320"/>
      <c r="N50" s="320"/>
      <c r="O50" s="459"/>
      <c r="T50" s="456"/>
      <c r="U50" s="320"/>
      <c r="V50" s="320"/>
      <c r="W50" s="320"/>
      <c r="X50" s="459"/>
    </row>
    <row r="51" spans="1:26" ht="6" customHeight="1" x14ac:dyDescent="0.3">
      <c r="C51" s="329"/>
      <c r="D51" s="322"/>
      <c r="E51" s="329"/>
      <c r="G51" s="327"/>
      <c r="H51" s="322"/>
      <c r="K51" s="466"/>
      <c r="L51" s="324"/>
      <c r="M51" s="324"/>
      <c r="N51" s="324"/>
      <c r="O51" s="467"/>
      <c r="T51" s="466"/>
      <c r="U51" s="324"/>
      <c r="V51" s="324"/>
      <c r="W51" s="324"/>
      <c r="X51" s="467"/>
    </row>
    <row r="52" spans="1:26" ht="33" customHeight="1" x14ac:dyDescent="0.3">
      <c r="C52" s="329"/>
      <c r="D52" s="322"/>
      <c r="E52" s="329"/>
      <c r="G52" s="327"/>
      <c r="H52" s="322"/>
      <c r="K52" s="455"/>
      <c r="L52" s="318"/>
      <c r="M52" s="318"/>
      <c r="N52" s="318"/>
      <c r="O52" s="458"/>
      <c r="T52" s="455"/>
      <c r="U52" s="322"/>
      <c r="V52" s="322"/>
      <c r="W52" s="322"/>
      <c r="X52" s="458"/>
    </row>
    <row r="53" spans="1:26" ht="6" customHeight="1" thickBot="1" x14ac:dyDescent="0.35">
      <c r="C53" s="333"/>
      <c r="D53" s="326"/>
      <c r="E53" s="333"/>
      <c r="G53" s="327"/>
      <c r="H53" s="322"/>
      <c r="K53" s="468"/>
      <c r="L53" s="326"/>
      <c r="M53" s="326"/>
      <c r="N53" s="326"/>
      <c r="O53" s="469"/>
      <c r="T53" s="468"/>
      <c r="U53" s="326"/>
      <c r="V53" s="326"/>
      <c r="W53" s="326"/>
      <c r="X53" s="469"/>
    </row>
    <row r="54" spans="1:26" ht="6" customHeight="1" x14ac:dyDescent="0.3">
      <c r="A54" s="309"/>
      <c r="B54" s="454"/>
      <c r="C54" s="315"/>
      <c r="D54" s="315"/>
      <c r="E54" s="315"/>
      <c r="F54" s="457"/>
      <c r="G54" s="327"/>
      <c r="H54" s="322"/>
      <c r="I54" s="319"/>
      <c r="M54" s="308"/>
      <c r="Q54" s="353"/>
      <c r="V54" s="308"/>
      <c r="Z54" s="354"/>
    </row>
    <row r="55" spans="1:26" ht="33" customHeight="1" thickBot="1" x14ac:dyDescent="0.35">
      <c r="A55" s="317" t="s">
        <v>295</v>
      </c>
      <c r="B55" s="455"/>
      <c r="C55" s="322"/>
      <c r="D55" s="322"/>
      <c r="E55" s="322"/>
      <c r="F55" s="458"/>
      <c r="G55" s="334"/>
      <c r="H55" s="322"/>
      <c r="I55" s="323" t="s">
        <v>296</v>
      </c>
      <c r="M55" s="308"/>
      <c r="Q55" s="353"/>
      <c r="V55" s="308"/>
      <c r="Z55" s="354"/>
    </row>
    <row r="56" spans="1:26" ht="6" customHeight="1" thickTop="1" thickBot="1" x14ac:dyDescent="0.35">
      <c r="A56" s="309"/>
      <c r="B56" s="468"/>
      <c r="C56" s="326"/>
      <c r="D56" s="326"/>
      <c r="E56" s="326"/>
      <c r="F56" s="469"/>
      <c r="G56" s="309"/>
      <c r="H56" s="309"/>
      <c r="I56" s="319"/>
      <c r="M56" s="308"/>
      <c r="V56" s="308"/>
    </row>
    <row r="57" spans="1:26" x14ac:dyDescent="0.3">
      <c r="M57" s="308"/>
      <c r="V57" s="308"/>
    </row>
    <row r="59" spans="1:26" ht="6" customHeight="1" x14ac:dyDescent="0.3">
      <c r="B59" s="474"/>
      <c r="C59" s="322"/>
      <c r="D59" s="322"/>
      <c r="E59" s="322"/>
      <c r="F59" s="474"/>
      <c r="G59" s="322"/>
      <c r="H59" s="322"/>
      <c r="K59" s="474"/>
      <c r="L59" s="322"/>
      <c r="M59" s="322"/>
      <c r="N59" s="322"/>
      <c r="O59" s="474"/>
      <c r="P59" s="322"/>
      <c r="T59" s="474"/>
      <c r="U59" s="322"/>
      <c r="V59" s="322"/>
      <c r="W59" s="322"/>
      <c r="X59" s="474"/>
      <c r="Y59" s="322"/>
    </row>
    <row r="60" spans="1:26" ht="33" customHeight="1" x14ac:dyDescent="0.3">
      <c r="A60" s="317"/>
      <c r="B60" s="474"/>
      <c r="C60" s="322"/>
      <c r="D60" s="322"/>
      <c r="E60" s="322"/>
      <c r="F60" s="474"/>
      <c r="G60" s="322"/>
      <c r="H60" s="322"/>
      <c r="K60" s="474"/>
      <c r="L60" s="322"/>
      <c r="M60" s="322"/>
      <c r="N60" s="322"/>
      <c r="O60" s="474"/>
      <c r="P60" s="322"/>
      <c r="T60" s="474"/>
      <c r="U60" s="322"/>
      <c r="V60" s="322"/>
      <c r="W60" s="322"/>
      <c r="X60" s="474"/>
      <c r="Y60" s="322"/>
    </row>
    <row r="61" spans="1:26" ht="6" customHeight="1" x14ac:dyDescent="0.3">
      <c r="B61" s="474"/>
      <c r="C61" s="322"/>
      <c r="D61" s="322"/>
      <c r="E61" s="322"/>
      <c r="F61" s="474"/>
      <c r="G61" s="322"/>
      <c r="H61" s="322"/>
      <c r="K61" s="474"/>
      <c r="L61" s="322"/>
      <c r="M61" s="322"/>
      <c r="N61" s="322"/>
      <c r="O61" s="474"/>
      <c r="P61" s="322"/>
      <c r="T61" s="474"/>
      <c r="U61" s="322"/>
      <c r="V61" s="322"/>
      <c r="W61" s="322"/>
      <c r="X61" s="474"/>
      <c r="Y61" s="322"/>
    </row>
    <row r="62" spans="1:26" ht="6" customHeight="1" x14ac:dyDescent="0.3">
      <c r="B62" s="474"/>
      <c r="C62" s="322"/>
      <c r="D62" s="322"/>
      <c r="E62" s="322"/>
      <c r="F62" s="474"/>
      <c r="G62" s="322"/>
      <c r="H62" s="322"/>
      <c r="K62" s="474"/>
      <c r="L62" s="322"/>
      <c r="M62" s="322"/>
      <c r="N62" s="322"/>
      <c r="O62" s="474"/>
      <c r="P62" s="322"/>
      <c r="T62" s="474"/>
      <c r="U62" s="322"/>
      <c r="V62" s="322"/>
      <c r="W62" s="322"/>
      <c r="X62" s="474"/>
      <c r="Y62" s="322"/>
    </row>
    <row r="63" spans="1:26" ht="33" customHeight="1" x14ac:dyDescent="0.3">
      <c r="B63" s="474"/>
      <c r="C63" s="322"/>
      <c r="D63" s="322"/>
      <c r="E63" s="322"/>
      <c r="F63" s="474"/>
      <c r="G63" s="322"/>
      <c r="H63" s="322"/>
      <c r="K63" s="474"/>
      <c r="L63" s="322"/>
      <c r="M63" s="322"/>
      <c r="N63" s="322"/>
      <c r="O63" s="474"/>
      <c r="P63" s="322"/>
      <c r="T63" s="474"/>
      <c r="U63" s="322"/>
      <c r="V63" s="322"/>
      <c r="W63" s="322"/>
      <c r="X63" s="474"/>
      <c r="Y63" s="322"/>
    </row>
    <row r="64" spans="1:26" ht="6" customHeight="1" x14ac:dyDescent="0.3">
      <c r="B64" s="474"/>
      <c r="C64" s="322"/>
      <c r="D64" s="322"/>
      <c r="E64" s="322"/>
      <c r="F64" s="474"/>
      <c r="G64" s="322"/>
      <c r="H64" s="322"/>
      <c r="K64" s="474"/>
      <c r="L64" s="322"/>
      <c r="M64" s="322"/>
      <c r="N64" s="322"/>
      <c r="O64" s="474"/>
      <c r="P64" s="322"/>
      <c r="T64" s="474"/>
      <c r="U64" s="322"/>
      <c r="V64" s="322"/>
      <c r="W64" s="322"/>
      <c r="X64" s="474"/>
      <c r="Y64" s="322"/>
    </row>
    <row r="65" spans="2:25" ht="6" customHeight="1" x14ac:dyDescent="0.3">
      <c r="B65" s="322"/>
      <c r="C65" s="322"/>
      <c r="D65" s="322"/>
      <c r="E65" s="322"/>
      <c r="F65" s="322"/>
      <c r="G65" s="322"/>
      <c r="H65" s="322"/>
      <c r="K65" s="322"/>
      <c r="L65" s="322"/>
      <c r="M65" s="322"/>
      <c r="N65" s="322"/>
      <c r="O65" s="322"/>
      <c r="P65" s="322"/>
      <c r="T65" s="322"/>
      <c r="U65" s="322"/>
      <c r="V65" s="322"/>
      <c r="W65" s="322"/>
      <c r="X65" s="322"/>
      <c r="Y65" s="322"/>
    </row>
    <row r="66" spans="2:25" ht="33" customHeight="1" x14ac:dyDescent="0.3">
      <c r="B66" s="322"/>
      <c r="C66" s="322"/>
      <c r="D66" s="322"/>
      <c r="E66" s="322"/>
      <c r="F66" s="322"/>
      <c r="G66" s="322"/>
      <c r="H66" s="322"/>
      <c r="I66" s="308"/>
      <c r="K66" s="322"/>
      <c r="L66" s="322"/>
      <c r="M66" s="322"/>
      <c r="N66" s="322"/>
      <c r="O66" s="322"/>
      <c r="P66" s="322"/>
      <c r="T66" s="322"/>
      <c r="U66" s="322"/>
      <c r="V66" s="322"/>
      <c r="W66" s="322"/>
      <c r="X66" s="322"/>
      <c r="Y66" s="322"/>
    </row>
    <row r="67" spans="2:25" ht="6" customHeight="1" x14ac:dyDescent="0.3">
      <c r="B67" s="322"/>
      <c r="C67" s="322"/>
      <c r="D67" s="322"/>
      <c r="E67" s="322"/>
      <c r="F67" s="322"/>
      <c r="G67" s="322"/>
      <c r="H67" s="322"/>
      <c r="I67" s="308"/>
      <c r="K67" s="322"/>
      <c r="L67" s="322"/>
      <c r="M67" s="322"/>
      <c r="N67" s="322"/>
      <c r="O67" s="322"/>
      <c r="P67" s="322"/>
      <c r="T67" s="322"/>
      <c r="U67" s="322"/>
      <c r="V67" s="322"/>
      <c r="W67" s="322"/>
      <c r="X67" s="322"/>
      <c r="Y67" s="322"/>
    </row>
  </sheetData>
  <mergeCells count="105"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V1.24</vt:lpstr>
      <vt:lpstr>Speicherbelegung</vt:lpstr>
      <vt:lpstr>allgemein</vt:lpstr>
      <vt:lpstr>Dolphin DOS</vt:lpstr>
      <vt:lpstr>'Truth-Table V1.24'!ProfDosV5D_Truth_Table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2019-12-01T17:39:55Z</dcterms:modified>
</cp:coreProperties>
</file>
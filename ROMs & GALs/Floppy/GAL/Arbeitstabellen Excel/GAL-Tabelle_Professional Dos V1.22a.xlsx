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65" yWindow="2310" windowWidth="12855" windowHeight="14010" activeTab="3"/>
  </bookViews>
  <sheets>
    <sheet name="GALV4" sheetId="2" r:id="rId1"/>
    <sheet name="Clockgenerator" sheetId="4" r:id="rId2"/>
    <sheet name="GALV5" sheetId="6" r:id="rId3"/>
    <sheet name="Truth-Table V1.22" sheetId="10" r:id="rId4"/>
    <sheet name="Speicherbelegung" sheetId="12" r:id="rId5"/>
  </sheets>
  <definedNames>
    <definedName name="_xlnm._FilterDatabase" localSheetId="3" hidden="1">'Truth-Table V1.22'!$D$1:$Z$194</definedName>
    <definedName name="ProfDosV5D_Truth_Table" localSheetId="3">'Truth-Table V1.22'!$B$1:$Y$2</definedName>
  </definedNames>
  <calcPr calcId="145621"/>
</workbook>
</file>

<file path=xl/calcChain.xml><?xml version="1.0" encoding="utf-8"?>
<calcChain xmlns="http://schemas.openxmlformats.org/spreadsheetml/2006/main">
  <c r="AG162" i="10" l="1"/>
  <c r="AG161" i="10"/>
  <c r="AG160" i="10"/>
  <c r="AG159" i="10"/>
  <c r="AG158" i="10"/>
  <c r="AG157" i="10"/>
  <c r="AG156" i="10"/>
  <c r="AG155" i="10"/>
  <c r="AG154" i="10"/>
  <c r="AG153" i="10"/>
  <c r="AG152" i="10"/>
  <c r="AG151" i="10"/>
  <c r="AG150" i="10"/>
  <c r="AG149" i="10"/>
  <c r="AG148" i="10"/>
  <c r="AG147" i="10"/>
  <c r="AG146" i="10"/>
  <c r="AG145" i="10"/>
  <c r="AG144" i="10"/>
  <c r="AG143" i="10"/>
  <c r="AG142" i="10"/>
  <c r="AG141" i="10"/>
  <c r="AG140" i="10"/>
  <c r="AG139" i="10"/>
  <c r="AG138" i="10"/>
  <c r="AG137" i="10"/>
  <c r="AG136" i="10"/>
  <c r="AG135" i="10"/>
  <c r="AG134" i="10"/>
  <c r="AG133" i="10"/>
  <c r="AG132" i="10"/>
  <c r="AG131" i="10"/>
  <c r="AG130" i="10"/>
  <c r="AG129" i="10"/>
  <c r="AG128" i="10"/>
  <c r="AG127" i="10"/>
  <c r="AG126" i="10"/>
  <c r="AG125" i="10"/>
  <c r="AG124" i="10"/>
  <c r="AG123" i="10"/>
  <c r="AG122" i="10"/>
  <c r="AG121" i="10"/>
  <c r="AG120" i="10"/>
  <c r="AG119" i="10"/>
  <c r="AG118" i="10"/>
  <c r="AG117" i="10"/>
  <c r="AG116" i="10"/>
  <c r="AG115" i="10"/>
  <c r="AG114" i="10"/>
  <c r="AG113" i="10"/>
  <c r="AG112" i="10"/>
  <c r="AG111" i="10"/>
  <c r="AG110" i="10"/>
  <c r="AG109" i="10"/>
  <c r="AG108" i="10"/>
  <c r="AG107" i="10"/>
  <c r="AG106" i="10"/>
  <c r="AG105" i="10"/>
  <c r="AG104" i="10"/>
  <c r="AG103" i="10"/>
  <c r="AG102" i="10"/>
  <c r="AG101" i="10"/>
  <c r="AG100" i="10"/>
  <c r="AG99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34" i="10" l="1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G3" i="10"/>
  <c r="AG35" i="10" l="1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2" i="10"/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<sst xmlns="http://schemas.openxmlformats.org/spreadsheetml/2006/main" count="4047" uniqueCount="289">
  <si>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</si>
  <si>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</si>
  <si>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</si>
  <si>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</si>
  <si>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</si>
  <si>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</si>
  <si>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</si>
  <si>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</si>
  <si>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</si>
  <si>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</si>
  <si>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</si>
  <si>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</si>
  <si>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</si>
  <si>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</si>
  <si>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</si>
  <si>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</si>
  <si>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</si>
  <si>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</si>
  <si>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</si>
  <si>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</si>
  <si>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</si>
  <si>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</si>
  <si>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</si>
  <si>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</si>
  <si>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</si>
  <si>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</si>
  <si>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</si>
  <si>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</si>
  <si>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</si>
  <si>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</si>
  <si>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</si>
  <si>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</si>
  <si>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</si>
  <si>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</si>
  <si>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</si>
  <si>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</si>
  <si>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</si>
  <si>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</si>
  <si>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</si>
  <si>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</si>
  <si>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</si>
  <si>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</si>
  <si>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</si>
  <si>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</si>
  <si>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</si>
  <si>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</si>
  <si>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</si>
  <si>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</si>
  <si>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</si>
  <si>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</si>
  <si>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</si>
  <si>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</si>
  <si>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</si>
  <si>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</si>
  <si>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</si>
  <si>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</si>
  <si>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</si>
  <si>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</si>
  <si>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</si>
  <si>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</si>
  <si>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</si>
  <si>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</si>
  <si>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</si>
  <si>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</si>
  <si>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</si>
  <si>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</si>
  <si>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</si>
  <si>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</si>
  <si>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</si>
  <si>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</si>
  <si>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</si>
  <si>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</si>
  <si>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</si>
  <si>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</si>
  <si>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</si>
  <si>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</si>
  <si>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</si>
  <si>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</si>
  <si>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</si>
  <si>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</si>
  <si>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</si>
  <si>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</si>
  <si>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</si>
  <si>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</si>
  <si>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</si>
  <si>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</si>
  <si>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</si>
  <si>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</si>
  <si>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</si>
  <si>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</si>
  <si>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</si>
  <si>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</si>
  <si>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</si>
  <si>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</si>
  <si>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</si>
  <si>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</si>
  <si>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</si>
  <si>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</si>
  <si>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</si>
  <si>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</si>
  <si>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</si>
  <si>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</si>
  <si>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</si>
  <si>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</si>
  <si>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</si>
  <si>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</si>
  <si>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</si>
  <si>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</si>
  <si>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</si>
  <si>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</si>
  <si>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</si>
  <si>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</si>
  <si>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</si>
  <si>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</si>
  <si>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</si>
  <si>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</si>
  <si>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</si>
  <si>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</si>
  <si>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</si>
  <si>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</si>
  <si>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</si>
  <si>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</si>
  <si>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</si>
  <si>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</si>
  <si>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</si>
  <si>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</si>
  <si>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</si>
  <si>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</si>
  <si>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</si>
  <si>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</si>
  <si>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</si>
  <si>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</si>
  <si>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</si>
  <si>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</si>
  <si>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</si>
  <si>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</si>
  <si>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</si>
  <si>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</si>
  <si>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</si>
  <si>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</si>
  <si>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</si>
  <si>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</si>
  <si>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</si>
  <si>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</si>
  <si>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</si>
  <si>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</si>
  <si>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</si>
  <si>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</si>
  <si>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</si>
  <si>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</si>
  <si>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</si>
  <si>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</si>
  <si>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</si>
  <si>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</si>
  <si>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</si>
  <si>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</si>
  <si>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</si>
  <si>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</si>
  <si>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</si>
  <si>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</si>
  <si>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</si>
  <si>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</si>
  <si>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</si>
  <si>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Dopphin Dos
32k ROM</t>
  </si>
  <si>
    <t>32k ROM</t>
  </si>
  <si>
    <t>$F800</t>
  </si>
  <si>
    <t>$F000</t>
  </si>
  <si>
    <t>$E800</t>
  </si>
  <si>
    <t>$E000</t>
  </si>
  <si>
    <t>$D800</t>
  </si>
  <si>
    <t>$D000</t>
  </si>
  <si>
    <t>$C800</t>
  </si>
  <si>
    <t>$C000</t>
  </si>
  <si>
    <t>GCR</t>
  </si>
  <si>
    <t>DOS-Extension</t>
  </si>
  <si>
    <t>$B800</t>
  </si>
  <si>
    <t>$B000</t>
  </si>
  <si>
    <t>$A800</t>
  </si>
  <si>
    <t>$A000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</si>
  <si>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</si>
  <si>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</si>
  <si>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</si>
  <si>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</si>
  <si>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</si>
  <si>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</si>
  <si>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</si>
  <si>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</si>
  <si>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</si>
  <si>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</si>
  <si>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</si>
  <si>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</si>
  <si>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</si>
  <si>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</si>
  <si>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</si>
  <si>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</si>
  <si>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</si>
  <si>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</si>
  <si>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</si>
  <si>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</si>
  <si>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</si>
  <si>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</si>
  <si>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</si>
  <si>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</si>
  <si>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</si>
  <si>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</si>
  <si>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</si>
  <si>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$1000</t>
  </si>
  <si>
    <t>$0800</t>
  </si>
  <si>
    <t>$0000</t>
  </si>
  <si>
    <t>truth_table</t>
  </si>
  <si>
    <t>(</t>
  </si>
  <si>
    <t>)</t>
  </si>
  <si>
    <t>-&gt;</t>
  </si>
  <si>
    <t>Eprom A14</t>
  </si>
  <si>
    <t>High-Rom ProfDos</t>
  </si>
  <si>
    <t>High-Rom auf dem Board</t>
  </si>
  <si>
    <t>"</t>
  </si>
  <si>
    <t>Low-Rom auf dem Board</t>
  </si>
  <si>
    <t>x</t>
  </si>
  <si>
    <t>high</t>
  </si>
  <si>
    <t>low</t>
  </si>
  <si>
    <t>ram</t>
  </si>
  <si>
    <t>1571 ProfDos 6526</t>
  </si>
  <si>
    <t>1571 original 6526</t>
  </si>
  <si>
    <t>1571 original 5710</t>
  </si>
  <si>
    <t>Professional Dos
32k ROM</t>
  </si>
  <si>
    <t>ProfDos RAM</t>
  </si>
  <si>
    <t>Here be dragons</t>
  </si>
  <si>
    <t>1541 TurboTrans</t>
  </si>
  <si>
    <t>C64</t>
  </si>
  <si>
    <t>8k Hi-ROM</t>
  </si>
  <si>
    <t>8k Hi-ROM
Dolphin-DOS</t>
  </si>
  <si>
    <t>8k Hi-ROM
Professional Dos</t>
  </si>
  <si>
    <t>TurboAccess
R2.8</t>
  </si>
  <si>
    <t>Kernal-ROM</t>
  </si>
  <si>
    <t>8k Lo-ROM</t>
  </si>
  <si>
    <t>8k Lo-ROM
Dolphin-DOS</t>
  </si>
  <si>
    <t>8k Lo-ROM
(auf Eprom)</t>
  </si>
  <si>
    <t>I/O
Character-Rom</t>
  </si>
  <si>
    <t>Speicher</t>
  </si>
  <si>
    <t>8k Hi-ROM
Spiegelung</t>
  </si>
  <si>
    <t>SRAM</t>
  </si>
  <si>
    <t>Basic-ROM</t>
  </si>
  <si>
    <t>8k Lo-ROM
Spiegelung</t>
  </si>
  <si>
    <t>FF</t>
  </si>
  <si>
    <t>TurboTrans
3.4</t>
  </si>
  <si>
    <t>Hauptspeicher</t>
  </si>
  <si>
    <t>2k RAM
Spiegelung</t>
  </si>
  <si>
    <t>CIA Spiegelung</t>
  </si>
  <si>
    <t>TT-Rambank II Spiegel.</t>
  </si>
  <si>
    <t>TT-Rambank II (256k)</t>
  </si>
  <si>
    <t>TT-Rambank I Spiegel.</t>
  </si>
  <si>
    <t>TT-Rambank I (256k)</t>
  </si>
  <si>
    <t>Zähler erhöhen</t>
  </si>
  <si>
    <t>Zähler auf 0 setzen</t>
  </si>
  <si>
    <t>2k RAM für Floppy</t>
  </si>
  <si>
    <t>TT-Ram ausschalten</t>
  </si>
  <si>
    <t>TT-Ram einschalten</t>
  </si>
  <si>
    <t>2k RAM Floppy
Spiegelung</t>
  </si>
  <si>
    <t>RAM $5000-$5800</t>
  </si>
  <si>
    <t>TT-Rom einschalten</t>
  </si>
  <si>
    <t>TT-Rom ausschalten</t>
  </si>
  <si>
    <t>2k RAM</t>
  </si>
  <si>
    <t>2k RAM vom 6164</t>
  </si>
  <si>
    <t>Zeropage</t>
  </si>
  <si>
    <t>ProfDos ein, RAM ProfDOS, LoRom org</t>
  </si>
  <si>
    <t>ProfDos aus, RAM onboard, LoRom org, HiRom org</t>
  </si>
  <si>
    <t>Dolphin</t>
  </si>
  <si>
    <t>DolphinDOS RAM</t>
  </si>
  <si>
    <t>DolphinDOS HiRom (C000)</t>
  </si>
  <si>
    <t>DolphinDOS LoRom (A000)</t>
  </si>
  <si>
    <t>DolphinDOS Dos-Extension (8000)</t>
  </si>
  <si>
    <t>ProfDos aus, RAM onboard, LoRom &amp; HiRom DolphinDos</t>
  </si>
  <si>
    <t>Original</t>
  </si>
  <si>
    <t>DolphinDos</t>
  </si>
  <si>
    <t>Low-Rom auf ProfDos</t>
  </si>
  <si>
    <t>ProfDos ein, RAM org, LoRom alt</t>
  </si>
  <si>
    <t>Speeddos</t>
  </si>
  <si>
    <t>ProfDos aus, RAM onboard, LoRom org, HiRom alt</t>
  </si>
  <si>
    <t>ProfDos aus, RAM onboard, LoRom alt, HiRom alt</t>
  </si>
  <si>
    <t>High-Rom auf ProfDos (Speeddos)</t>
  </si>
  <si>
    <t>Eprom A13</t>
  </si>
  <si>
    <t>Fetch 2MHz mode</t>
  </si>
  <si>
    <t>WD177X FDC</t>
  </si>
  <si>
    <t>WD177X Spiegelung</t>
  </si>
  <si>
    <t>CIA 8520A</t>
  </si>
  <si>
    <t>8520A Spiegelung</t>
  </si>
  <si>
    <t>8k Hi-ROM
Speeddos</t>
  </si>
  <si>
    <t>Speeddos Expert
DOS-Extension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</si>
</sst>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4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7" xfId="0" applyFill="1" applyBorder="1"/>
    <xf numFmtId="0" fontId="0" fillId="0" borderId="51" xfId="0" applyFill="1" applyBorder="1"/>
    <xf numFmtId="0" fontId="0" fillId="0" borderId="32" xfId="0" applyFill="1" applyBorder="1"/>
    <xf numFmtId="0" fontId="0" fillId="0" borderId="54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left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3" borderId="54" xfId="0" applyFill="1" applyBorder="1"/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0" fontId="0" fillId="3" borderId="51" xfId="0" applyFill="1" applyBorder="1" applyAlignment="1">
      <alignment vertical="center"/>
    </xf>
    <xf numFmtId="1" fontId="0" fillId="16" borderId="48" xfId="0" applyNumberFormat="1" applyFill="1" applyBorder="1" applyAlignment="1">
      <alignment horizontal="center"/>
    </xf>
    <xf numFmtId="1" fontId="0" fillId="0" borderId="51" xfId="0" applyNumberFormat="1" applyFill="1" applyBorder="1" applyAlignment="1">
      <alignment horizontal="left"/>
    </xf>
    <xf numFmtId="1" fontId="0" fillId="5" borderId="45" xfId="0" applyNumberFormat="1" applyFill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3" borderId="50" xfId="0" applyFill="1" applyBorder="1" applyAlignment="1">
      <alignment vertical="center"/>
    </xf>
    <xf numFmtId="1" fontId="0" fillId="15" borderId="32" xfId="0" applyNumberFormat="1" applyFill="1" applyBorder="1" applyAlignment="1">
      <alignment horizontal="center"/>
    </xf>
    <xf numFmtId="1" fontId="0" fillId="15" borderId="54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left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0" fontId="0" fillId="4" borderId="51" xfId="0" applyFill="1" applyBorder="1"/>
    <xf numFmtId="1" fontId="0" fillId="4" borderId="43" xfId="0" applyNumberFormat="1" applyFill="1" applyBorder="1" applyAlignment="1">
      <alignment horizontal="center"/>
    </xf>
    <xf numFmtId="1" fontId="0" fillId="4" borderId="44" xfId="0" applyNumberFormat="1" applyFill="1" applyBorder="1" applyAlignment="1">
      <alignment horizontal="center"/>
    </xf>
    <xf numFmtId="1" fontId="0" fillId="4" borderId="45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4" borderId="47" xfId="0" applyNumberFormat="1" applyFill="1" applyBorder="1" applyAlignment="1">
      <alignment horizontal="center"/>
    </xf>
    <xf numFmtId="1" fontId="0" fillId="4" borderId="48" xfId="0" applyNumberFormat="1" applyFill="1" applyBorder="1" applyAlignment="1">
      <alignment horizontal="center"/>
    </xf>
    <xf numFmtId="1" fontId="0" fillId="4" borderId="49" xfId="0" applyNumberFormat="1" applyFill="1" applyBorder="1" applyAlignment="1">
      <alignment horizontal="center"/>
    </xf>
    <xf numFmtId="0" fontId="0" fillId="3" borderId="32" xfId="0" applyFill="1" applyBorder="1"/>
    <xf numFmtId="1" fontId="0" fillId="5" borderId="32" xfId="0" applyNumberFormat="1" applyFill="1" applyBorder="1" applyAlignment="1">
      <alignment horizontal="center"/>
    </xf>
    <xf numFmtId="1" fontId="0" fillId="4" borderId="51" xfId="0" applyNumberFormat="1" applyFill="1" applyBorder="1" applyAlignment="1">
      <alignment horizontal="center"/>
    </xf>
    <xf numFmtId="1" fontId="0" fillId="4" borderId="32" xfId="0" applyNumberFormat="1" applyFill="1" applyBorder="1" applyAlignment="1">
      <alignment horizontal="center"/>
    </xf>
    <xf numFmtId="1" fontId="0" fillId="4" borderId="54" xfId="0" applyNumberFormat="1" applyFill="1" applyBorder="1" applyAlignment="1">
      <alignment horizontal="center"/>
    </xf>
    <xf numFmtId="1" fontId="0" fillId="0" borderId="51" xfId="0" applyNumberFormat="1" applyFill="1" applyBorder="1" applyAlignment="1">
      <alignment horizontal="center"/>
    </xf>
    <xf numFmtId="1" fontId="0" fillId="0" borderId="32" xfId="0" applyNumberFormat="1" applyFill="1" applyBorder="1" applyAlignment="1">
      <alignment horizontal="center"/>
    </xf>
    <xf numFmtId="1" fontId="0" fillId="0" borderId="54" xfId="0" applyNumberFormat="1" applyFill="1" applyBorder="1" applyAlignment="1">
      <alignment horizontal="center"/>
    </xf>
    <xf numFmtId="1" fontId="0" fillId="15" borderId="51" xfId="0" applyNumberFormat="1" applyFill="1" applyBorder="1" applyAlignment="1">
      <alignment horizontal="center"/>
    </xf>
    <xf numFmtId="1" fontId="0" fillId="4" borderId="50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left" vertical="center"/>
    </xf>
    <xf numFmtId="1" fontId="0" fillId="3" borderId="32" xfId="0" applyNumberFormat="1" applyFill="1" applyBorder="1" applyAlignment="1">
      <alignment horizontal="center"/>
    </xf>
    <xf numFmtId="1" fontId="0" fillId="3" borderId="54" xfId="0" applyNumberFormat="1" applyFill="1" applyBorder="1" applyAlignment="1">
      <alignment horizontal="center"/>
    </xf>
    <xf numFmtId="1" fontId="0" fillId="3" borderId="51" xfId="0" applyNumberFormat="1" applyFill="1" applyBorder="1" applyAlignment="1">
      <alignment horizontal="center"/>
    </xf>
    <xf numFmtId="1" fontId="0" fillId="16" borderId="40" xfId="0" applyNumberFormat="1" applyFill="1" applyBorder="1" applyAlignment="1">
      <alignment horizontal="center"/>
    </xf>
    <xf numFmtId="1" fontId="0" fillId="0" borderId="56" xfId="0" applyNumberFormat="1" applyFill="1" applyBorder="1" applyAlignment="1">
      <alignment horizontal="center"/>
    </xf>
    <xf numFmtId="1" fontId="0" fillId="0" borderId="60" xfId="0" applyNumberFormat="1" applyFill="1" applyBorder="1" applyAlignment="1">
      <alignment horizontal="center"/>
    </xf>
    <xf numFmtId="49" fontId="0" fillId="0" borderId="60" xfId="0" applyNumberFormat="1" applyFill="1" applyBorder="1" applyAlignment="1">
      <alignment horizontal="center"/>
    </xf>
    <xf numFmtId="1" fontId="0" fillId="0" borderId="59" xfId="0" applyNumberFormat="1" applyFill="1" applyBorder="1" applyAlignment="1">
      <alignment horizontal="center"/>
    </xf>
    <xf numFmtId="0" fontId="0" fillId="4" borderId="32" xfId="0" applyFill="1" applyBorder="1"/>
    <xf numFmtId="0" fontId="0" fillId="4" borderId="54" xfId="0" applyFill="1" applyBorder="1"/>
    <xf numFmtId="1" fontId="0" fillId="2" borderId="0" xfId="0" applyNumberFormat="1" applyFill="1" applyBorder="1" applyAlignment="1">
      <alignment horizontal="left"/>
    </xf>
    <xf numFmtId="1" fontId="0" fillId="2" borderId="51" xfId="0" applyNumberFormat="1" applyFill="1" applyBorder="1" applyAlignment="1">
      <alignment horizontal="left"/>
    </xf>
    <xf numFmtId="0" fontId="0" fillId="2" borderId="32" xfId="0" applyFill="1" applyBorder="1"/>
    <xf numFmtId="0" fontId="0" fillId="2" borderId="54" xfId="0" applyFill="1" applyBorder="1"/>
    <xf numFmtId="1" fontId="0" fillId="2" borderId="51" xfId="0" applyNumberFormat="1" applyFill="1" applyBorder="1" applyAlignment="1">
      <alignment horizontal="left" vertical="center"/>
    </xf>
    <xf numFmtId="1" fontId="0" fillId="2" borderId="5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/>
    </xf>
    <xf numFmtId="1" fontId="0" fillId="6" borderId="0" xfId="0" applyNumberFormat="1" applyFill="1" applyBorder="1" applyAlignment="1">
      <alignment horizontal="left"/>
    </xf>
    <xf numFmtId="1" fontId="0" fillId="6" borderId="0" xfId="0" applyNumberFormat="1" applyFill="1" applyBorder="1" applyAlignment="1">
      <alignment horizontal="center"/>
    </xf>
    <xf numFmtId="1" fontId="0" fillId="17" borderId="50" xfId="0" applyNumberFormat="1" applyFill="1" applyBorder="1" applyAlignment="1">
      <alignment horizontal="center"/>
    </xf>
    <xf numFmtId="1" fontId="0" fillId="17" borderId="49" xfId="0" applyNumberForma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52" xfId="0" applyFill="1" applyBorder="1" applyAlignment="1">
      <alignment horizontal="center" vertical="center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35" t="s">
        <v>63</v>
      </c>
      <c r="I2" s="335" t="s">
        <v>61</v>
      </c>
      <c r="J2" s="335" t="s">
        <v>55</v>
      </c>
      <c r="K2" s="335" t="s">
        <v>56</v>
      </c>
      <c r="L2" s="335" t="s">
        <v>57</v>
      </c>
      <c r="M2" s="335" t="s">
        <v>58</v>
      </c>
      <c r="N2" s="335" t="s">
        <v>59</v>
      </c>
      <c r="O2" s="335" t="s">
        <v>62</v>
      </c>
      <c r="P2" s="335" t="s">
        <v>60</v>
      </c>
      <c r="Q2" s="335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35"/>
      <c r="I3" s="335"/>
      <c r="J3" s="335"/>
      <c r="K3" s="335"/>
      <c r="L3" s="335"/>
      <c r="M3" s="335"/>
      <c r="N3" s="335"/>
      <c r="O3" s="335"/>
      <c r="P3" s="335"/>
      <c r="Q3" s="335"/>
      <c r="AP3" s="322" t="s">
        <v>70</v>
      </c>
      <c r="AQ3" s="323"/>
      <c r="AR3" s="323"/>
      <c r="AS3" s="324"/>
      <c r="AU3" s="321" t="s">
        <v>69</v>
      </c>
      <c r="AV3" s="321"/>
      <c r="AW3" s="321"/>
      <c r="AX3" s="321"/>
      <c r="AY3" s="321"/>
      <c r="AZ3" s="321"/>
      <c r="BA3" s="321"/>
      <c r="BB3" s="321"/>
      <c r="BC3" s="321"/>
      <c r="BD3" s="321"/>
      <c r="BE3" s="321"/>
      <c r="BF3" s="321"/>
      <c r="BG3" s="321"/>
      <c r="BH3" s="321"/>
      <c r="BI3" s="321"/>
    </row>
    <row r="4" spans="2:63" x14ac:dyDescent="0.25">
      <c r="C4" s="23"/>
      <c r="D4" s="23"/>
      <c r="E4" s="23"/>
      <c r="F4" s="23"/>
      <c r="G4" s="23"/>
      <c r="H4" s="335"/>
      <c r="I4" s="335"/>
      <c r="J4" s="335"/>
      <c r="K4" s="335"/>
      <c r="L4" s="335"/>
      <c r="M4" s="335"/>
      <c r="N4" s="335"/>
      <c r="O4" s="335"/>
      <c r="P4" s="335"/>
      <c r="Q4" s="335"/>
      <c r="AP4" s="57" t="s">
        <v>16</v>
      </c>
      <c r="AQ4" s="319" t="s">
        <v>14</v>
      </c>
      <c r="AR4" s="320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25" t="s">
        <v>53</v>
      </c>
      <c r="BK4" s="326"/>
    </row>
    <row r="5" spans="2:63" x14ac:dyDescent="0.25">
      <c r="C5" s="23"/>
      <c r="D5" s="23"/>
      <c r="E5" s="23"/>
      <c r="F5" s="23"/>
      <c r="G5" s="23"/>
      <c r="H5" s="335"/>
      <c r="I5" s="335"/>
      <c r="J5" s="335"/>
      <c r="K5" s="335"/>
      <c r="L5" s="335"/>
      <c r="M5" s="335"/>
      <c r="N5" s="335"/>
      <c r="O5" s="335"/>
      <c r="P5" s="335"/>
      <c r="Q5" s="335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27" t="s">
        <v>54</v>
      </c>
      <c r="BK5" s="328"/>
    </row>
    <row r="6" spans="2:63" ht="15" customHeight="1" x14ac:dyDescent="0.25">
      <c r="C6" s="23"/>
      <c r="D6" s="23"/>
      <c r="E6" s="23"/>
      <c r="F6" s="23"/>
      <c r="G6" s="23"/>
      <c r="H6" s="335"/>
      <c r="I6" s="335"/>
      <c r="J6" s="335"/>
      <c r="K6" s="335"/>
      <c r="L6" s="335"/>
      <c r="M6" s="335"/>
      <c r="N6" s="335"/>
      <c r="O6" s="335"/>
      <c r="P6" s="335"/>
      <c r="Q6" s="335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35"/>
      <c r="I7" s="335"/>
      <c r="J7" s="335"/>
      <c r="K7" s="335"/>
      <c r="L7" s="335"/>
      <c r="M7" s="335"/>
      <c r="N7" s="335"/>
      <c r="O7" s="335"/>
      <c r="P7" s="335"/>
      <c r="Q7" s="335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35"/>
      <c r="I8" s="335"/>
      <c r="J8" s="335"/>
      <c r="K8" s="335"/>
      <c r="L8" s="335"/>
      <c r="M8" s="335"/>
      <c r="N8" s="335"/>
      <c r="O8" s="335"/>
      <c r="P8" s="335"/>
      <c r="Q8" s="335"/>
      <c r="S8" s="26"/>
      <c r="T8" s="27"/>
      <c r="U8" s="331" t="s">
        <v>8</v>
      </c>
      <c r="V8" s="331"/>
      <c r="W8" s="41"/>
      <c r="X8" s="27"/>
      <c r="Y8" s="331" t="s">
        <v>8</v>
      </c>
      <c r="Z8" s="331"/>
      <c r="AA8" s="40"/>
      <c r="AB8" s="28"/>
      <c r="AC8" s="33"/>
      <c r="AD8" s="26"/>
      <c r="AE8" s="27"/>
      <c r="AF8" s="331" t="s">
        <v>8</v>
      </c>
      <c r="AG8" s="331"/>
      <c r="AH8" s="41"/>
      <c r="AI8" s="27"/>
      <c r="AJ8" s="331" t="s">
        <v>8</v>
      </c>
      <c r="AK8" s="331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36"/>
      <c r="I9" s="336"/>
      <c r="J9" s="336"/>
      <c r="K9" s="336"/>
      <c r="L9" s="336"/>
      <c r="M9" s="336"/>
      <c r="N9" s="336"/>
      <c r="O9" s="336"/>
      <c r="P9" s="336"/>
      <c r="Q9" s="336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32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32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32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33" t="s">
        <v>19</v>
      </c>
      <c r="AC11" s="33"/>
      <c r="AD11" s="332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34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33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34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29" t="s">
        <v>33</v>
      </c>
      <c r="W13" s="329"/>
      <c r="X13" s="329"/>
      <c r="Y13" s="329"/>
      <c r="Z13" s="1"/>
      <c r="AA13" s="31"/>
      <c r="AB13" s="30"/>
      <c r="AC13" s="33"/>
      <c r="AD13" s="29"/>
      <c r="AE13" s="31"/>
      <c r="AF13" s="1"/>
      <c r="AG13" s="329" t="s">
        <v>33</v>
      </c>
      <c r="AH13" s="329"/>
      <c r="AI13" s="329"/>
      <c r="AJ13" s="329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30" t="s">
        <v>0</v>
      </c>
      <c r="Y14" s="330"/>
      <c r="Z14" s="330"/>
      <c r="AA14" s="330"/>
      <c r="AB14" s="32"/>
      <c r="AC14" s="33"/>
      <c r="AD14" s="37"/>
      <c r="AE14" s="34"/>
      <c r="AF14" s="35"/>
      <c r="AG14" s="35"/>
      <c r="AH14" s="34"/>
      <c r="AI14" s="330" t="s">
        <v>0</v>
      </c>
      <c r="AJ14" s="330"/>
      <c r="AK14" s="330"/>
      <c r="AL14" s="330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31" t="s">
        <v>8</v>
      </c>
      <c r="V16" s="331"/>
      <c r="W16" s="41"/>
      <c r="X16" s="27"/>
      <c r="Y16" s="331" t="s">
        <v>8</v>
      </c>
      <c r="Z16" s="331"/>
      <c r="AA16" s="40"/>
      <c r="AB16" s="28"/>
      <c r="AC16" s="33"/>
      <c r="AD16" s="26"/>
      <c r="AE16" s="27"/>
      <c r="AF16" s="331" t="s">
        <v>8</v>
      </c>
      <c r="AG16" s="331"/>
      <c r="AH16" s="41"/>
      <c r="AI16" s="27"/>
      <c r="AJ16" s="331" t="s">
        <v>8</v>
      </c>
      <c r="AK16" s="331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32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32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32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34" t="s">
        <v>19</v>
      </c>
      <c r="AC19" s="33"/>
      <c r="AD19" s="332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34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34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34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29" t="s">
        <v>33</v>
      </c>
      <c r="W21" s="329"/>
      <c r="X21" s="329"/>
      <c r="Y21" s="329"/>
      <c r="Z21" s="1"/>
      <c r="AA21" s="31"/>
      <c r="AB21" s="30"/>
      <c r="AC21" s="33"/>
      <c r="AD21" s="29"/>
      <c r="AE21" s="31"/>
      <c r="AF21" s="1"/>
      <c r="AG21" s="329" t="s">
        <v>33</v>
      </c>
      <c r="AH21" s="329"/>
      <c r="AI21" s="329"/>
      <c r="AJ21" s="329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30" t="s">
        <v>0</v>
      </c>
      <c r="Y22" s="330"/>
      <c r="Z22" s="330"/>
      <c r="AA22" s="330"/>
      <c r="AB22" s="32"/>
      <c r="AC22" s="33"/>
      <c r="AD22" s="37"/>
      <c r="AE22" s="34"/>
      <c r="AF22" s="35"/>
      <c r="AG22" s="35"/>
      <c r="AH22" s="34"/>
      <c r="AI22" s="330" t="s">
        <v>0</v>
      </c>
      <c r="AJ22" s="330"/>
      <c r="AK22" s="330"/>
      <c r="AL22" s="330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31" t="s">
        <v>8</v>
      </c>
      <c r="V24" s="331"/>
      <c r="W24" s="41"/>
      <c r="X24" s="27"/>
      <c r="Y24" s="331" t="s">
        <v>8</v>
      </c>
      <c r="Z24" s="331"/>
      <c r="AA24" s="40"/>
      <c r="AB24" s="28"/>
      <c r="AC24" s="33"/>
      <c r="AD24" s="26"/>
      <c r="AE24" s="27"/>
      <c r="AF24" s="331" t="s">
        <v>8</v>
      </c>
      <c r="AG24" s="331"/>
      <c r="AH24" s="41"/>
      <c r="AI24" s="27"/>
      <c r="AJ24" s="331" t="s">
        <v>8</v>
      </c>
      <c r="AK24" s="331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32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32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32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34" t="s">
        <v>19</v>
      </c>
      <c r="AC27" s="33"/>
      <c r="AD27" s="332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34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34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34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29" t="s">
        <v>33</v>
      </c>
      <c r="W29" s="329"/>
      <c r="X29" s="329"/>
      <c r="Y29" s="329"/>
      <c r="Z29" s="1"/>
      <c r="AA29" s="31"/>
      <c r="AB29" s="30"/>
      <c r="AC29" s="33"/>
      <c r="AD29" s="29"/>
      <c r="AE29" s="31"/>
      <c r="AF29" s="1"/>
      <c r="AG29" s="329" t="s">
        <v>33</v>
      </c>
      <c r="AH29" s="329"/>
      <c r="AI29" s="329"/>
      <c r="AJ29" s="329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30" t="s">
        <v>0</v>
      </c>
      <c r="Y30" s="330"/>
      <c r="Z30" s="330"/>
      <c r="AA30" s="330"/>
      <c r="AB30" s="32"/>
      <c r="AC30" s="33"/>
      <c r="AD30" s="37"/>
      <c r="AE30" s="34"/>
      <c r="AF30" s="35"/>
      <c r="AG30" s="35"/>
      <c r="AH30" s="34"/>
      <c r="AI30" s="330" t="s">
        <v>0</v>
      </c>
      <c r="AJ30" s="330"/>
      <c r="AK30" s="330"/>
      <c r="AL30" s="330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31" t="s">
        <v>8</v>
      </c>
      <c r="V32" s="331"/>
      <c r="W32" s="41"/>
      <c r="X32" s="27"/>
      <c r="Y32" s="331" t="s">
        <v>8</v>
      </c>
      <c r="Z32" s="331"/>
      <c r="AA32" s="40"/>
      <c r="AB32" s="28"/>
      <c r="AC32" s="33"/>
      <c r="AD32" s="26"/>
      <c r="AE32" s="27"/>
      <c r="AF32" s="331" t="s">
        <v>8</v>
      </c>
      <c r="AG32" s="331"/>
      <c r="AH32" s="41"/>
      <c r="AI32" s="27"/>
      <c r="AJ32" s="331" t="s">
        <v>8</v>
      </c>
      <c r="AK32" s="331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32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32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32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34" t="s">
        <v>19</v>
      </c>
      <c r="AC35" s="33"/>
      <c r="AD35" s="332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34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34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34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29" t="s">
        <v>33</v>
      </c>
      <c r="W37" s="329"/>
      <c r="X37" s="329"/>
      <c r="Y37" s="329"/>
      <c r="Z37" s="1"/>
      <c r="AA37" s="31"/>
      <c r="AB37" s="30"/>
      <c r="AC37" s="33"/>
      <c r="AD37" s="29"/>
      <c r="AE37" s="31"/>
      <c r="AF37" s="1"/>
      <c r="AG37" s="329" t="s">
        <v>33</v>
      </c>
      <c r="AH37" s="329"/>
      <c r="AI37" s="329"/>
      <c r="AJ37" s="329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30" t="s">
        <v>0</v>
      </c>
      <c r="Y38" s="330"/>
      <c r="Z38" s="330"/>
      <c r="AA38" s="330"/>
      <c r="AB38" s="32"/>
      <c r="AC38" s="33"/>
      <c r="AD38" s="37"/>
      <c r="AE38" s="34"/>
      <c r="AF38" s="35"/>
      <c r="AG38" s="35"/>
      <c r="AH38" s="34"/>
      <c r="AI38" s="330" t="s">
        <v>0</v>
      </c>
      <c r="AJ38" s="330"/>
      <c r="AK38" s="330"/>
      <c r="AL38" s="330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31" t="s">
        <v>8</v>
      </c>
      <c r="V40" s="331"/>
      <c r="W40" s="41"/>
      <c r="X40" s="27"/>
      <c r="Y40" s="331" t="s">
        <v>8</v>
      </c>
      <c r="Z40" s="331"/>
      <c r="AA40" s="40"/>
      <c r="AB40" s="28"/>
      <c r="AC40" s="33"/>
      <c r="AD40" s="26"/>
      <c r="AE40" s="27"/>
      <c r="AF40" s="331" t="s">
        <v>8</v>
      </c>
      <c r="AG40" s="331"/>
      <c r="AH40" s="41"/>
      <c r="AI40" s="27"/>
      <c r="AJ40" s="331" t="s">
        <v>8</v>
      </c>
      <c r="AK40" s="331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32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32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32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34" t="s">
        <v>19</v>
      </c>
      <c r="AC43" s="33"/>
      <c r="AD43" s="332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34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34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34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29" t="s">
        <v>33</v>
      </c>
      <c r="W45" s="329"/>
      <c r="X45" s="329"/>
      <c r="Y45" s="329"/>
      <c r="Z45" s="1"/>
      <c r="AA45" s="31"/>
      <c r="AB45" s="30"/>
      <c r="AC45" s="33"/>
      <c r="AD45" s="29"/>
      <c r="AE45" s="31"/>
      <c r="AF45" s="1"/>
      <c r="AG45" s="329" t="s">
        <v>33</v>
      </c>
      <c r="AH45" s="329"/>
      <c r="AI45" s="329"/>
      <c r="AJ45" s="329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30" t="s">
        <v>0</v>
      </c>
      <c r="Y46" s="330"/>
      <c r="Z46" s="330"/>
      <c r="AA46" s="330"/>
      <c r="AB46" s="32"/>
      <c r="AC46" s="33"/>
      <c r="AD46" s="37"/>
      <c r="AE46" s="34"/>
      <c r="AF46" s="35"/>
      <c r="AG46" s="35"/>
      <c r="AH46" s="34"/>
      <c r="AI46" s="330" t="s">
        <v>0</v>
      </c>
      <c r="AJ46" s="330"/>
      <c r="AK46" s="330"/>
      <c r="AL46" s="330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D10:AD11"/>
    <mergeCell ref="AB11:AB12"/>
    <mergeCell ref="X14:AA14"/>
    <mergeCell ref="AI14:AL14"/>
    <mergeCell ref="V13:Y13"/>
    <mergeCell ref="AG13:AJ13"/>
    <mergeCell ref="U16:V16"/>
    <mergeCell ref="Y16:Z16"/>
    <mergeCell ref="AF16:AG16"/>
    <mergeCell ref="AJ16:AK16"/>
    <mergeCell ref="V21:Y21"/>
    <mergeCell ref="AG21:AJ21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AQ4:AR4"/>
    <mergeCell ref="AU3:BI3"/>
    <mergeCell ref="AP3:AS3"/>
    <mergeCell ref="BJ4:BK4"/>
    <mergeCell ref="BJ5:BK5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35" t="s">
        <v>63</v>
      </c>
      <c r="J2" s="335" t="s">
        <v>61</v>
      </c>
      <c r="K2" s="335" t="s">
        <v>55</v>
      </c>
      <c r="L2" s="335" t="s">
        <v>56</v>
      </c>
      <c r="M2" s="335" t="s">
        <v>57</v>
      </c>
      <c r="N2" s="335" t="s">
        <v>58</v>
      </c>
      <c r="O2" s="335" t="s">
        <v>59</v>
      </c>
      <c r="P2" s="335" t="s">
        <v>62</v>
      </c>
      <c r="Q2" s="335" t="s">
        <v>60</v>
      </c>
      <c r="R2" s="335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35"/>
      <c r="J3" s="335"/>
      <c r="K3" s="335"/>
      <c r="L3" s="335"/>
      <c r="M3" s="335"/>
      <c r="N3" s="335"/>
      <c r="O3" s="335"/>
      <c r="P3" s="335"/>
      <c r="Q3" s="335"/>
      <c r="R3" s="335"/>
      <c r="AT3" s="322" t="s">
        <v>70</v>
      </c>
      <c r="AU3" s="323"/>
      <c r="AV3" s="323"/>
      <c r="AW3" s="324"/>
      <c r="AY3" s="321" t="s">
        <v>69</v>
      </c>
      <c r="AZ3" s="321"/>
      <c r="BA3" s="321"/>
      <c r="BB3" s="321"/>
      <c r="BC3" s="321"/>
      <c r="BD3" s="321"/>
      <c r="BE3" s="321"/>
      <c r="BF3" s="321"/>
      <c r="BG3" s="321"/>
      <c r="BH3" s="321"/>
      <c r="BI3" s="321"/>
      <c r="BJ3" s="321"/>
      <c r="BK3" s="321"/>
      <c r="BL3" s="321"/>
      <c r="BM3" s="321"/>
    </row>
    <row r="4" spans="2:67" x14ac:dyDescent="0.25">
      <c r="D4" s="23"/>
      <c r="E4" s="23"/>
      <c r="F4" s="23"/>
      <c r="G4" s="23"/>
      <c r="H4" s="23"/>
      <c r="I4" s="335"/>
      <c r="J4" s="335"/>
      <c r="K4" s="335"/>
      <c r="L4" s="335"/>
      <c r="M4" s="335"/>
      <c r="N4" s="335"/>
      <c r="O4" s="335"/>
      <c r="P4" s="335"/>
      <c r="Q4" s="335"/>
      <c r="R4" s="335"/>
      <c r="AT4" s="57" t="s">
        <v>16</v>
      </c>
      <c r="AU4" s="319" t="s">
        <v>14</v>
      </c>
      <c r="AV4" s="320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25" t="s">
        <v>53</v>
      </c>
      <c r="BO4" s="326"/>
    </row>
    <row r="5" spans="2:67" x14ac:dyDescent="0.25">
      <c r="D5" s="23"/>
      <c r="E5" s="23"/>
      <c r="F5" s="23"/>
      <c r="G5" s="23"/>
      <c r="H5" s="23"/>
      <c r="I5" s="335"/>
      <c r="J5" s="335"/>
      <c r="K5" s="335"/>
      <c r="L5" s="335"/>
      <c r="M5" s="335"/>
      <c r="N5" s="335"/>
      <c r="O5" s="335"/>
      <c r="P5" s="335"/>
      <c r="Q5" s="335"/>
      <c r="R5" s="335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27" t="s">
        <v>54</v>
      </c>
      <c r="BO5" s="328"/>
    </row>
    <row r="6" spans="2:67" ht="15" customHeight="1" x14ac:dyDescent="0.25">
      <c r="D6" s="23"/>
      <c r="E6" s="23"/>
      <c r="F6" s="23"/>
      <c r="G6" s="23"/>
      <c r="H6" s="23"/>
      <c r="I6" s="335"/>
      <c r="J6" s="335"/>
      <c r="K6" s="335"/>
      <c r="L6" s="335"/>
      <c r="M6" s="335"/>
      <c r="N6" s="335"/>
      <c r="O6" s="335"/>
      <c r="P6" s="335"/>
      <c r="Q6" s="335"/>
      <c r="R6" s="335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35"/>
      <c r="J7" s="335"/>
      <c r="K7" s="335"/>
      <c r="L7" s="335"/>
      <c r="M7" s="335"/>
      <c r="N7" s="335"/>
      <c r="O7" s="335"/>
      <c r="P7" s="335"/>
      <c r="Q7" s="335"/>
      <c r="R7" s="335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35"/>
      <c r="J8" s="335"/>
      <c r="K8" s="335"/>
      <c r="L8" s="335"/>
      <c r="M8" s="335"/>
      <c r="N8" s="335"/>
      <c r="O8" s="335"/>
      <c r="P8" s="335"/>
      <c r="Q8" s="335"/>
      <c r="R8" s="335"/>
      <c r="T8" s="26"/>
      <c r="U8" s="27"/>
      <c r="V8" s="331" t="s">
        <v>8</v>
      </c>
      <c r="W8" s="331"/>
      <c r="X8" s="41"/>
      <c r="Y8" s="27"/>
      <c r="Z8" s="331" t="s">
        <v>8</v>
      </c>
      <c r="AA8" s="331"/>
      <c r="AB8" s="40"/>
      <c r="AC8" s="28"/>
      <c r="AD8" s="33"/>
      <c r="AE8" s="26"/>
      <c r="AF8" s="27"/>
      <c r="AG8" s="331" t="s">
        <v>8</v>
      </c>
      <c r="AH8" s="331"/>
      <c r="AI8" s="41"/>
      <c r="AJ8" s="27"/>
      <c r="AK8" s="331" t="s">
        <v>8</v>
      </c>
      <c r="AL8" s="331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36"/>
      <c r="J9" s="336"/>
      <c r="K9" s="336"/>
      <c r="L9" s="336"/>
      <c r="M9" s="336"/>
      <c r="N9" s="336"/>
      <c r="O9" s="336"/>
      <c r="P9" s="336"/>
      <c r="Q9" s="336"/>
      <c r="R9" s="336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32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32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32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33" t="s">
        <v>19</v>
      </c>
      <c r="AD11" s="33"/>
      <c r="AE11" s="332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34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33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34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29" t="s">
        <v>33</v>
      </c>
      <c r="X13" s="329"/>
      <c r="Y13" s="329"/>
      <c r="Z13" s="329"/>
      <c r="AA13" s="1"/>
      <c r="AB13" s="31"/>
      <c r="AC13" s="30"/>
      <c r="AD13" s="33"/>
      <c r="AE13" s="29"/>
      <c r="AF13" s="31"/>
      <c r="AG13" s="1"/>
      <c r="AH13" s="329" t="s">
        <v>33</v>
      </c>
      <c r="AI13" s="329"/>
      <c r="AJ13" s="329"/>
      <c r="AK13" s="329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30" t="s">
        <v>0</v>
      </c>
      <c r="Z14" s="330"/>
      <c r="AA14" s="330"/>
      <c r="AB14" s="330"/>
      <c r="AC14" s="32"/>
      <c r="AD14" s="33"/>
      <c r="AE14" s="37"/>
      <c r="AF14" s="34"/>
      <c r="AG14" s="35"/>
      <c r="AH14" s="35"/>
      <c r="AI14" s="34"/>
      <c r="AJ14" s="330" t="s">
        <v>0</v>
      </c>
      <c r="AK14" s="330"/>
      <c r="AL14" s="330"/>
      <c r="AM14" s="330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31" t="s">
        <v>8</v>
      </c>
      <c r="W16" s="331"/>
      <c r="X16" s="41"/>
      <c r="Y16" s="27"/>
      <c r="Z16" s="331" t="s">
        <v>8</v>
      </c>
      <c r="AA16" s="331"/>
      <c r="AB16" s="40"/>
      <c r="AC16" s="28"/>
      <c r="AD16" s="33"/>
      <c r="AE16" s="26"/>
      <c r="AF16" s="27"/>
      <c r="AG16" s="331" t="s">
        <v>8</v>
      </c>
      <c r="AH16" s="331"/>
      <c r="AI16" s="41"/>
      <c r="AJ16" s="27"/>
      <c r="AK16" s="331" t="s">
        <v>8</v>
      </c>
      <c r="AL16" s="331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32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32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32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34" t="s">
        <v>19</v>
      </c>
      <c r="AD19" s="33"/>
      <c r="AE19" s="332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34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34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34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29" t="s">
        <v>33</v>
      </c>
      <c r="X21" s="329"/>
      <c r="Y21" s="329"/>
      <c r="Z21" s="329"/>
      <c r="AA21" s="1"/>
      <c r="AB21" s="31"/>
      <c r="AC21" s="30"/>
      <c r="AD21" s="33"/>
      <c r="AE21" s="29"/>
      <c r="AF21" s="31"/>
      <c r="AG21" s="1"/>
      <c r="AH21" s="329" t="s">
        <v>33</v>
      </c>
      <c r="AI21" s="329"/>
      <c r="AJ21" s="329"/>
      <c r="AK21" s="329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30" t="s">
        <v>0</v>
      </c>
      <c r="Z22" s="330"/>
      <c r="AA22" s="330"/>
      <c r="AB22" s="330"/>
      <c r="AC22" s="32"/>
      <c r="AD22" s="33"/>
      <c r="AE22" s="37"/>
      <c r="AF22" s="34"/>
      <c r="AG22" s="35"/>
      <c r="AH22" s="35"/>
      <c r="AI22" s="34"/>
      <c r="AJ22" s="330" t="s">
        <v>0</v>
      </c>
      <c r="AK22" s="330"/>
      <c r="AL22" s="330"/>
      <c r="AM22" s="330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31" t="s">
        <v>8</v>
      </c>
      <c r="W24" s="331"/>
      <c r="X24" s="41"/>
      <c r="Y24" s="27"/>
      <c r="Z24" s="331" t="s">
        <v>8</v>
      </c>
      <c r="AA24" s="331"/>
      <c r="AB24" s="40"/>
      <c r="AC24" s="28"/>
      <c r="AD24" s="33"/>
      <c r="AE24" s="26"/>
      <c r="AF24" s="27"/>
      <c r="AG24" s="331" t="s">
        <v>8</v>
      </c>
      <c r="AH24" s="331"/>
      <c r="AI24" s="41"/>
      <c r="AJ24" s="27"/>
      <c r="AK24" s="331" t="s">
        <v>8</v>
      </c>
      <c r="AL24" s="331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32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32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32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34" t="s">
        <v>19</v>
      </c>
      <c r="AD27" s="33"/>
      <c r="AE27" s="332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34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34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34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29" t="s">
        <v>33</v>
      </c>
      <c r="X29" s="329"/>
      <c r="Y29" s="329"/>
      <c r="Z29" s="329"/>
      <c r="AA29" s="1"/>
      <c r="AB29" s="31"/>
      <c r="AC29" s="30"/>
      <c r="AD29" s="33"/>
      <c r="AE29" s="29"/>
      <c r="AF29" s="31"/>
      <c r="AG29" s="1"/>
      <c r="AH29" s="329" t="s">
        <v>33</v>
      </c>
      <c r="AI29" s="329"/>
      <c r="AJ29" s="329"/>
      <c r="AK29" s="329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30" t="s">
        <v>0</v>
      </c>
      <c r="Z30" s="330"/>
      <c r="AA30" s="330"/>
      <c r="AB30" s="330"/>
      <c r="AC30" s="32"/>
      <c r="AD30" s="33"/>
      <c r="AE30" s="37"/>
      <c r="AF30" s="34"/>
      <c r="AG30" s="35"/>
      <c r="AH30" s="35"/>
      <c r="AI30" s="34"/>
      <c r="AJ30" s="330" t="s">
        <v>0</v>
      </c>
      <c r="AK30" s="330"/>
      <c r="AL30" s="330"/>
      <c r="AM30" s="330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31" t="s">
        <v>8</v>
      </c>
      <c r="W32" s="331"/>
      <c r="X32" s="41"/>
      <c r="Y32" s="27"/>
      <c r="Z32" s="331" t="s">
        <v>8</v>
      </c>
      <c r="AA32" s="331"/>
      <c r="AB32" s="40"/>
      <c r="AC32" s="28"/>
      <c r="AD32" s="33"/>
      <c r="AE32" s="26"/>
      <c r="AF32" s="27"/>
      <c r="AG32" s="331" t="s">
        <v>8</v>
      </c>
      <c r="AH32" s="331"/>
      <c r="AI32" s="41"/>
      <c r="AJ32" s="27"/>
      <c r="AK32" s="331" t="s">
        <v>8</v>
      </c>
      <c r="AL32" s="331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32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32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32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34" t="s">
        <v>19</v>
      </c>
      <c r="AD35" s="33"/>
      <c r="AE35" s="332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34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34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34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29" t="s">
        <v>33</v>
      </c>
      <c r="X37" s="329"/>
      <c r="Y37" s="329"/>
      <c r="Z37" s="329"/>
      <c r="AA37" s="1"/>
      <c r="AB37" s="31"/>
      <c r="AC37" s="30"/>
      <c r="AD37" s="33"/>
      <c r="AE37" s="29"/>
      <c r="AF37" s="31"/>
      <c r="AG37" s="1"/>
      <c r="AH37" s="329" t="s">
        <v>33</v>
      </c>
      <c r="AI37" s="329"/>
      <c r="AJ37" s="329"/>
      <c r="AK37" s="329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30" t="s">
        <v>0</v>
      </c>
      <c r="Z38" s="330"/>
      <c r="AA38" s="330"/>
      <c r="AB38" s="330"/>
      <c r="AC38" s="32"/>
      <c r="AD38" s="33"/>
      <c r="AE38" s="37"/>
      <c r="AF38" s="34"/>
      <c r="AG38" s="35"/>
      <c r="AH38" s="35"/>
      <c r="AI38" s="34"/>
      <c r="AJ38" s="330" t="s">
        <v>0</v>
      </c>
      <c r="AK38" s="330"/>
      <c r="AL38" s="330"/>
      <c r="AM38" s="330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31" t="s">
        <v>8</v>
      </c>
      <c r="W40" s="331"/>
      <c r="X40" s="41"/>
      <c r="Y40" s="27"/>
      <c r="Z40" s="331" t="s">
        <v>8</v>
      </c>
      <c r="AA40" s="331"/>
      <c r="AB40" s="40"/>
      <c r="AC40" s="28"/>
      <c r="AD40" s="33"/>
      <c r="AE40" s="26"/>
      <c r="AF40" s="27"/>
      <c r="AG40" s="331" t="s">
        <v>8</v>
      </c>
      <c r="AH40" s="331"/>
      <c r="AI40" s="41"/>
      <c r="AJ40" s="27"/>
      <c r="AK40" s="331" t="s">
        <v>8</v>
      </c>
      <c r="AL40" s="331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32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32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32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34" t="s">
        <v>19</v>
      </c>
      <c r="AD43" s="33"/>
      <c r="AE43" s="332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34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34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34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29" t="s">
        <v>33</v>
      </c>
      <c r="X45" s="329"/>
      <c r="Y45" s="329"/>
      <c r="Z45" s="329"/>
      <c r="AA45" s="1"/>
      <c r="AB45" s="31"/>
      <c r="AC45" s="30"/>
      <c r="AD45" s="33"/>
      <c r="AE45" s="29"/>
      <c r="AF45" s="31"/>
      <c r="AG45" s="1"/>
      <c r="AH45" s="329" t="s">
        <v>33</v>
      </c>
      <c r="AI45" s="329"/>
      <c r="AJ45" s="329"/>
      <c r="AK45" s="329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30" t="s">
        <v>0</v>
      </c>
      <c r="Z46" s="330"/>
      <c r="AA46" s="330"/>
      <c r="AB46" s="330"/>
      <c r="AC46" s="32"/>
      <c r="AD46" s="33"/>
      <c r="AE46" s="37"/>
      <c r="AF46" s="34"/>
      <c r="AG46" s="35"/>
      <c r="AH46" s="35"/>
      <c r="AI46" s="34"/>
      <c r="AJ46" s="330" t="s">
        <v>0</v>
      </c>
      <c r="AK46" s="330"/>
      <c r="AL46" s="330"/>
      <c r="AM46" s="330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37" t="s">
        <v>131</v>
      </c>
      <c r="X50" s="337"/>
      <c r="Y50" s="337"/>
      <c r="Z50" s="337"/>
      <c r="AA50" s="337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38" t="s">
        <v>132</v>
      </c>
      <c r="X51" s="338"/>
      <c r="Y51" s="338"/>
      <c r="Z51" s="338"/>
      <c r="AA51" s="338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  <mergeCell ref="BN4:BO4"/>
    <mergeCell ref="BN5:BO5"/>
    <mergeCell ref="V8:W8"/>
    <mergeCell ref="Z8:AA8"/>
    <mergeCell ref="AG8:AH8"/>
    <mergeCell ref="AK8:AL8"/>
    <mergeCell ref="AE10:AE11"/>
    <mergeCell ref="AC11:AC12"/>
    <mergeCell ref="AN11:AN12"/>
    <mergeCell ref="W13:Z13"/>
    <mergeCell ref="AH13:AK13"/>
    <mergeCell ref="Y14:AB14"/>
    <mergeCell ref="AJ14:AM14"/>
    <mergeCell ref="V16:W16"/>
    <mergeCell ref="Z16:AA16"/>
    <mergeCell ref="AG16:AH16"/>
    <mergeCell ref="AK16:AL16"/>
    <mergeCell ref="T18:T19"/>
    <mergeCell ref="AE18:AE19"/>
    <mergeCell ref="AC19:AC20"/>
    <mergeCell ref="AN19:AN20"/>
    <mergeCell ref="W21:Z21"/>
    <mergeCell ref="AH21:AK21"/>
    <mergeCell ref="Y22:AB22"/>
    <mergeCell ref="AJ22:AM22"/>
    <mergeCell ref="V24:W24"/>
    <mergeCell ref="Z24:AA24"/>
    <mergeCell ref="AG24:AH24"/>
    <mergeCell ref="AK24:AL24"/>
    <mergeCell ref="T26:T27"/>
    <mergeCell ref="AE26:AE27"/>
    <mergeCell ref="AC27:AC28"/>
    <mergeCell ref="AN27:AN28"/>
    <mergeCell ref="W29:Z29"/>
    <mergeCell ref="AH29:AK29"/>
    <mergeCell ref="Y30:AB30"/>
    <mergeCell ref="AJ30:AM30"/>
    <mergeCell ref="V32:W32"/>
    <mergeCell ref="Z32:AA32"/>
    <mergeCell ref="AG32:AH32"/>
    <mergeCell ref="AK32:AL32"/>
    <mergeCell ref="T34:T35"/>
    <mergeCell ref="AE34:AE35"/>
    <mergeCell ref="AC35:AC36"/>
    <mergeCell ref="AN35:AN36"/>
    <mergeCell ref="W37:Z37"/>
    <mergeCell ref="AH37:AK37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Y46:AB46"/>
    <mergeCell ref="AJ46:AM46"/>
    <mergeCell ref="T42:T43"/>
    <mergeCell ref="AE42:AE43"/>
    <mergeCell ref="AC43:AC44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195"/>
  <sheetViews>
    <sheetView tabSelected="1" workbookViewId="0">
      <pane ySplit="2" topLeftCell="A47" activePane="bottomLeft" state="frozen"/>
      <selection pane="bottomLeft"/>
    </sheetView>
  </sheetViews>
  <sheetFormatPr baseColWidth="10" defaultRowHeight="15" x14ac:dyDescent="0.25"/>
  <cols>
    <col min="1" max="1" width="11" style="183" bestFit="1" customWidth="1"/>
    <col min="2" max="3" width="1.7109375" style="183" bestFit="1" customWidth="1"/>
    <col min="4" max="4" width="8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1.7109375" style="183" bestFit="1" customWidth="1"/>
    <col min="15" max="15" width="2.7109375" style="212" bestFit="1" customWidth="1"/>
    <col min="16" max="16" width="1.710937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2" style="242" bestFit="1" customWidth="1"/>
    <col min="30" max="30" width="58.85546875" style="183" bestFit="1" customWidth="1"/>
    <col min="31" max="31" width="11.42578125" style="183"/>
    <col min="32" max="32" width="3.28515625" style="183" customWidth="1"/>
    <col min="33" max="33" width="90.42578125" style="183" bestFit="1" customWidth="1"/>
    <col min="34" max="16384" width="11.42578125" style="183"/>
  </cols>
  <sheetData>
    <row r="1" spans="1:33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213</v>
      </c>
      <c r="U1" s="215" t="s">
        <v>281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282</v>
      </c>
      <c r="AA1" s="191"/>
      <c r="AB1" s="191"/>
      <c r="AC1" s="241"/>
    </row>
    <row r="2" spans="1:33" ht="15.75" thickBot="1" x14ac:dyDescent="0.3">
      <c r="A2" s="216" t="s">
        <v>209</v>
      </c>
      <c r="B2" s="217" t="s">
        <v>210</v>
      </c>
      <c r="C2" s="301" t="s">
        <v>135</v>
      </c>
      <c r="D2" s="302" t="s">
        <v>267</v>
      </c>
      <c r="E2" s="302" t="s">
        <v>220</v>
      </c>
      <c r="F2" s="302" t="s">
        <v>221</v>
      </c>
      <c r="G2" s="302" t="s">
        <v>71</v>
      </c>
      <c r="H2" s="302" t="s">
        <v>219</v>
      </c>
      <c r="I2" s="302" t="s">
        <v>0</v>
      </c>
      <c r="J2" s="302" t="s">
        <v>33</v>
      </c>
      <c r="K2" s="302" t="s">
        <v>1</v>
      </c>
      <c r="L2" s="302" t="s">
        <v>8</v>
      </c>
      <c r="M2" s="302" t="s">
        <v>19</v>
      </c>
      <c r="N2" s="302" t="s">
        <v>134</v>
      </c>
      <c r="O2" s="303" t="s">
        <v>212</v>
      </c>
      <c r="P2" s="302" t="s">
        <v>135</v>
      </c>
      <c r="Q2" s="302" t="s">
        <v>30</v>
      </c>
      <c r="R2" s="302" t="s">
        <v>27</v>
      </c>
      <c r="S2" s="302" t="s">
        <v>31</v>
      </c>
      <c r="T2" s="302" t="s">
        <v>29</v>
      </c>
      <c r="U2" s="302" t="s">
        <v>23</v>
      </c>
      <c r="V2" s="302" t="s">
        <v>26</v>
      </c>
      <c r="W2" s="302" t="s">
        <v>24</v>
      </c>
      <c r="X2" s="302" t="s">
        <v>28</v>
      </c>
      <c r="Y2" s="302" t="s">
        <v>25</v>
      </c>
      <c r="Z2" s="302" t="s">
        <v>22</v>
      </c>
      <c r="AA2" s="302" t="s">
        <v>134</v>
      </c>
      <c r="AB2" s="304" t="s">
        <v>211</v>
      </c>
      <c r="AC2" s="241"/>
      <c r="AG2" s="183" t="str">
        <f>A2&amp;B2&amp;C2&amp;D2&amp;","&amp;E2&amp;","&amp;F2&amp;","&amp;G2&amp;","&amp;H2&amp;","&amp;I2&amp;","&amp;J2&amp;","&amp;K2&amp;","&amp;L2&amp;","&amp;M2&amp;N2&amp;O2&amp;P2&amp;Q2&amp;","&amp;R2&amp;","&amp;S2&amp;","&amp;T2&amp;","&amp;U2&amp;","&amp;V2&amp;","&amp;W2&amp;","&amp;X2&amp;","&amp;Y2&amp;","&amp;Z2&amp;AA2&amp;AB2</f>
        <v>truth_table([Dolphin,low,ram,off,high,A15,A14,A13,A12,A11]-&gt;[O8,O5,O9,O7,O1,O4,O2,O6,O3,O0])</v>
      </c>
    </row>
    <row r="3" spans="1:33" ht="15.75" hidden="1" thickBot="1" x14ac:dyDescent="0.3">
      <c r="A3" s="248"/>
      <c r="B3" s="191"/>
      <c r="C3" s="220" t="s">
        <v>135</v>
      </c>
      <c r="D3" s="289">
        <v>1</v>
      </c>
      <c r="E3" s="214" t="s">
        <v>218</v>
      </c>
      <c r="F3" s="317">
        <v>1</v>
      </c>
      <c r="G3" s="290">
        <v>0</v>
      </c>
      <c r="H3" s="214" t="s">
        <v>218</v>
      </c>
      <c r="I3" s="191">
        <v>0</v>
      </c>
      <c r="J3" s="191">
        <v>0</v>
      </c>
      <c r="K3" s="191">
        <v>0</v>
      </c>
      <c r="L3" s="191">
        <v>0</v>
      </c>
      <c r="M3" s="191">
        <v>0</v>
      </c>
      <c r="N3" s="191" t="s">
        <v>134</v>
      </c>
      <c r="O3" s="211" t="s">
        <v>212</v>
      </c>
      <c r="P3" s="191" t="s">
        <v>135</v>
      </c>
      <c r="Q3" s="191">
        <v>0</v>
      </c>
      <c r="R3" s="191">
        <v>1</v>
      </c>
      <c r="S3" s="191">
        <v>0</v>
      </c>
      <c r="T3" s="233" t="s">
        <v>218</v>
      </c>
      <c r="U3" s="230" t="s">
        <v>218</v>
      </c>
      <c r="V3" s="222">
        <v>1</v>
      </c>
      <c r="W3" s="317">
        <v>0</v>
      </c>
      <c r="X3" s="268">
        <v>0</v>
      </c>
      <c r="Y3" s="300">
        <v>0</v>
      </c>
      <c r="Z3" s="225">
        <v>0</v>
      </c>
      <c r="AA3" s="191" t="s">
        <v>134</v>
      </c>
      <c r="AB3" s="221" t="s">
        <v>130</v>
      </c>
      <c r="AC3" s="243" t="s">
        <v>216</v>
      </c>
      <c r="AD3" s="256" t="s">
        <v>265</v>
      </c>
      <c r="AE3" s="241" t="s">
        <v>208</v>
      </c>
      <c r="AG3" s="183" t="str">
        <f t="shared" ref="AG3:AG34" si="0">C3&amp;D3&amp;","&amp;E3&amp;","&amp;F3&amp;","&amp;G3&amp;","&amp;H3&amp;","&amp;I3&amp;","&amp;J3&amp;","&amp;K3&amp;","&amp;L3&amp;","&amp;M3&amp;N3&amp;O3&amp;P3&amp;Q3&amp;","&amp;R3&amp;","&amp;S3&amp;","&amp;T3&amp;","&amp;U3&amp;","&amp;V3&amp;","&amp;W3&amp;","&amp;X3&amp;","&amp;Y3&amp;","&amp;Z3&amp;AA3&amp;AB3&amp;"   "&amp;AC3&amp;AD3</f>
        <v>[1,x,1,0,x,0,0,0,0,0]-&gt;[0,1,0,x,x,1,0,0,0,0];   "ProfDos ein, RAM ProfDOS, LoRom org</v>
      </c>
    </row>
    <row r="4" spans="1:33" ht="15.75" hidden="1" thickBot="1" x14ac:dyDescent="0.3">
      <c r="A4" s="248"/>
      <c r="B4" s="191"/>
      <c r="C4" s="220" t="s">
        <v>135</v>
      </c>
      <c r="D4" s="287" t="s">
        <v>218</v>
      </c>
      <c r="E4" s="214" t="s">
        <v>218</v>
      </c>
      <c r="F4" s="214" t="s">
        <v>218</v>
      </c>
      <c r="G4" s="214" t="s">
        <v>218</v>
      </c>
      <c r="H4" s="214" t="s">
        <v>218</v>
      </c>
      <c r="I4" s="191">
        <v>0</v>
      </c>
      <c r="J4" s="191">
        <v>0</v>
      </c>
      <c r="K4" s="191">
        <v>0</v>
      </c>
      <c r="L4" s="191">
        <v>0</v>
      </c>
      <c r="M4" s="191">
        <v>1</v>
      </c>
      <c r="N4" s="191" t="s">
        <v>134</v>
      </c>
      <c r="O4" s="211" t="s">
        <v>212</v>
      </c>
      <c r="P4" s="191" t="s">
        <v>135</v>
      </c>
      <c r="Q4" s="191">
        <v>0</v>
      </c>
      <c r="R4" s="191">
        <v>0</v>
      </c>
      <c r="S4" s="191">
        <v>1</v>
      </c>
      <c r="T4" s="233" t="s">
        <v>218</v>
      </c>
      <c r="U4" s="230" t="s">
        <v>218</v>
      </c>
      <c r="V4" s="191">
        <v>1</v>
      </c>
      <c r="W4" s="191">
        <v>1</v>
      </c>
      <c r="X4" s="233" t="s">
        <v>218</v>
      </c>
      <c r="Y4" s="230" t="s">
        <v>218</v>
      </c>
      <c r="Z4" s="191">
        <v>0</v>
      </c>
      <c r="AA4" s="191" t="s">
        <v>134</v>
      </c>
      <c r="AB4" s="221" t="s">
        <v>130</v>
      </c>
      <c r="AC4" s="241"/>
      <c r="AG4" s="183" t="str">
        <f t="shared" si="0"/>
        <v xml:space="preserve">[x,x,x,x,x,0,0,0,0,1]-&gt;[0,0,1,x,x,1,1,x,x,0];   </v>
      </c>
    </row>
    <row r="5" spans="1:33" ht="15.75" hidden="1" thickBot="1" x14ac:dyDescent="0.3">
      <c r="A5" s="248"/>
      <c r="B5" s="191"/>
      <c r="C5" s="220" t="s">
        <v>135</v>
      </c>
      <c r="D5" s="287" t="s">
        <v>218</v>
      </c>
      <c r="E5" s="214" t="s">
        <v>218</v>
      </c>
      <c r="F5" s="214" t="s">
        <v>218</v>
      </c>
      <c r="G5" s="214" t="s">
        <v>218</v>
      </c>
      <c r="H5" s="214" t="s">
        <v>218</v>
      </c>
      <c r="I5" s="191">
        <v>0</v>
      </c>
      <c r="J5" s="191">
        <v>0</v>
      </c>
      <c r="K5" s="191">
        <v>0</v>
      </c>
      <c r="L5" s="191">
        <v>1</v>
      </c>
      <c r="M5" s="191">
        <v>0</v>
      </c>
      <c r="N5" s="191" t="s">
        <v>134</v>
      </c>
      <c r="O5" s="211" t="s">
        <v>212</v>
      </c>
      <c r="P5" s="191" t="s">
        <v>135</v>
      </c>
      <c r="Q5" s="191">
        <v>0</v>
      </c>
      <c r="R5" s="191">
        <v>1</v>
      </c>
      <c r="S5" s="191">
        <v>0</v>
      </c>
      <c r="T5" s="233" t="s">
        <v>218</v>
      </c>
      <c r="U5" s="230" t="s">
        <v>218</v>
      </c>
      <c r="V5" s="191">
        <v>1</v>
      </c>
      <c r="W5" s="191">
        <v>1</v>
      </c>
      <c r="X5" s="233" t="s">
        <v>218</v>
      </c>
      <c r="Y5" s="230" t="s">
        <v>218</v>
      </c>
      <c r="Z5" s="191">
        <v>0</v>
      </c>
      <c r="AA5" s="191" t="s">
        <v>134</v>
      </c>
      <c r="AB5" s="221" t="s">
        <v>130</v>
      </c>
      <c r="AC5" s="241"/>
      <c r="AE5" s="183" t="s">
        <v>206</v>
      </c>
      <c r="AG5" s="183" t="str">
        <f t="shared" si="0"/>
        <v xml:space="preserve">[x,x,x,x,x,0,0,0,1,0]-&gt;[0,1,0,x,x,1,1,x,x,0];   </v>
      </c>
    </row>
    <row r="6" spans="1:33" ht="15.75" hidden="1" thickBot="1" x14ac:dyDescent="0.3">
      <c r="A6" s="248"/>
      <c r="B6" s="191"/>
      <c r="C6" s="220" t="s">
        <v>135</v>
      </c>
      <c r="D6" s="287" t="s">
        <v>218</v>
      </c>
      <c r="E6" s="214" t="s">
        <v>218</v>
      </c>
      <c r="F6" s="214" t="s">
        <v>218</v>
      </c>
      <c r="G6" s="214" t="s">
        <v>218</v>
      </c>
      <c r="H6" s="214" t="s">
        <v>218</v>
      </c>
      <c r="I6" s="191">
        <v>0</v>
      </c>
      <c r="J6" s="191">
        <v>0</v>
      </c>
      <c r="K6" s="191">
        <v>0</v>
      </c>
      <c r="L6" s="191">
        <v>1</v>
      </c>
      <c r="M6" s="191">
        <v>1</v>
      </c>
      <c r="N6" s="191" t="s">
        <v>134</v>
      </c>
      <c r="O6" s="211" t="s">
        <v>212</v>
      </c>
      <c r="P6" s="191" t="s">
        <v>135</v>
      </c>
      <c r="Q6" s="191">
        <v>0</v>
      </c>
      <c r="R6" s="191">
        <v>1</v>
      </c>
      <c r="S6" s="191">
        <v>1</v>
      </c>
      <c r="T6" s="233" t="s">
        <v>218</v>
      </c>
      <c r="U6" s="230" t="s">
        <v>218</v>
      </c>
      <c r="V6" s="191">
        <v>1</v>
      </c>
      <c r="W6" s="191">
        <v>1</v>
      </c>
      <c r="X6" s="233" t="s">
        <v>218</v>
      </c>
      <c r="Y6" s="230" t="s">
        <v>218</v>
      </c>
      <c r="Z6" s="191">
        <v>0</v>
      </c>
      <c r="AA6" s="191" t="s">
        <v>134</v>
      </c>
      <c r="AB6" s="221" t="s">
        <v>130</v>
      </c>
      <c r="AC6" s="241"/>
      <c r="AG6" s="183" t="str">
        <f t="shared" si="0"/>
        <v xml:space="preserve">[x,x,x,x,x,0,0,0,1,1]-&gt;[0,1,1,x,x,1,1,x,x,0];   </v>
      </c>
    </row>
    <row r="7" spans="1:33" ht="15.75" hidden="1" thickBot="1" x14ac:dyDescent="0.3">
      <c r="A7" s="248"/>
      <c r="B7" s="191"/>
      <c r="C7" s="220" t="s">
        <v>135</v>
      </c>
      <c r="D7" s="287" t="s">
        <v>218</v>
      </c>
      <c r="E7" s="214" t="s">
        <v>218</v>
      </c>
      <c r="F7" s="214" t="s">
        <v>218</v>
      </c>
      <c r="G7" s="214" t="s">
        <v>218</v>
      </c>
      <c r="H7" s="214" t="s">
        <v>218</v>
      </c>
      <c r="I7" s="191">
        <v>0</v>
      </c>
      <c r="J7" s="191">
        <v>0</v>
      </c>
      <c r="K7" s="191">
        <v>1</v>
      </c>
      <c r="L7" s="191">
        <v>0</v>
      </c>
      <c r="M7" s="191">
        <v>0</v>
      </c>
      <c r="N7" s="191" t="s">
        <v>134</v>
      </c>
      <c r="O7" s="211" t="s">
        <v>212</v>
      </c>
      <c r="P7" s="191" t="s">
        <v>135</v>
      </c>
      <c r="Q7" s="191">
        <v>0</v>
      </c>
      <c r="R7" s="191">
        <v>0</v>
      </c>
      <c r="S7" s="191">
        <v>0</v>
      </c>
      <c r="T7" s="233" t="s">
        <v>218</v>
      </c>
      <c r="U7" s="230" t="s">
        <v>218</v>
      </c>
      <c r="V7" s="191">
        <v>1</v>
      </c>
      <c r="W7" s="191">
        <v>1</v>
      </c>
      <c r="X7" s="233" t="s">
        <v>218</v>
      </c>
      <c r="Y7" s="230" t="s">
        <v>218</v>
      </c>
      <c r="Z7" s="191">
        <v>0</v>
      </c>
      <c r="AA7" s="191" t="s">
        <v>134</v>
      </c>
      <c r="AB7" s="221" t="s">
        <v>130</v>
      </c>
      <c r="AC7" s="241"/>
      <c r="AE7" s="183" t="s">
        <v>201</v>
      </c>
      <c r="AG7" s="183" t="str">
        <f t="shared" si="0"/>
        <v xml:space="preserve">[x,x,x,x,x,0,0,1,0,0]-&gt;[0,0,0,x,x,1,1,x,x,0];   </v>
      </c>
    </row>
    <row r="8" spans="1:33" ht="15.75" hidden="1" thickBot="1" x14ac:dyDescent="0.3">
      <c r="A8" s="248"/>
      <c r="B8" s="191"/>
      <c r="C8" s="220" t="s">
        <v>135</v>
      </c>
      <c r="D8" s="287" t="s">
        <v>218</v>
      </c>
      <c r="E8" s="214" t="s">
        <v>218</v>
      </c>
      <c r="F8" s="214" t="s">
        <v>218</v>
      </c>
      <c r="G8" s="214" t="s">
        <v>218</v>
      </c>
      <c r="H8" s="214" t="s">
        <v>218</v>
      </c>
      <c r="I8" s="191">
        <v>0</v>
      </c>
      <c r="J8" s="191">
        <v>0</v>
      </c>
      <c r="K8" s="191">
        <v>1</v>
      </c>
      <c r="L8" s="191">
        <v>0</v>
      </c>
      <c r="M8" s="191">
        <v>1</v>
      </c>
      <c r="N8" s="191" t="s">
        <v>134</v>
      </c>
      <c r="O8" s="211" t="s">
        <v>212</v>
      </c>
      <c r="P8" s="191" t="s">
        <v>135</v>
      </c>
      <c r="Q8" s="191">
        <v>0</v>
      </c>
      <c r="R8" s="191">
        <v>0</v>
      </c>
      <c r="S8" s="191">
        <v>1</v>
      </c>
      <c r="T8" s="233" t="s">
        <v>218</v>
      </c>
      <c r="U8" s="230" t="s">
        <v>218</v>
      </c>
      <c r="V8" s="191">
        <v>1</v>
      </c>
      <c r="W8" s="191">
        <v>1</v>
      </c>
      <c r="X8" s="233" t="s">
        <v>218</v>
      </c>
      <c r="Y8" s="230" t="s">
        <v>218</v>
      </c>
      <c r="Z8" s="191">
        <v>0</v>
      </c>
      <c r="AA8" s="191" t="s">
        <v>134</v>
      </c>
      <c r="AB8" s="221" t="s">
        <v>130</v>
      </c>
      <c r="AC8" s="241"/>
      <c r="AG8" s="183" t="str">
        <f t="shared" si="0"/>
        <v xml:space="preserve">[x,x,x,x,x,0,0,1,0,1]-&gt;[0,0,1,x,x,1,1,x,x,0];   </v>
      </c>
    </row>
    <row r="9" spans="1:33" ht="15.75" hidden="1" thickBot="1" x14ac:dyDescent="0.3">
      <c r="A9" s="248"/>
      <c r="B9" s="191"/>
      <c r="C9" s="220" t="s">
        <v>135</v>
      </c>
      <c r="D9" s="287" t="s">
        <v>218</v>
      </c>
      <c r="E9" s="214" t="s">
        <v>218</v>
      </c>
      <c r="F9" s="214" t="s">
        <v>218</v>
      </c>
      <c r="G9" s="214" t="s">
        <v>218</v>
      </c>
      <c r="H9" s="214" t="s">
        <v>218</v>
      </c>
      <c r="I9" s="191">
        <v>0</v>
      </c>
      <c r="J9" s="191">
        <v>0</v>
      </c>
      <c r="K9" s="191">
        <v>1</v>
      </c>
      <c r="L9" s="191">
        <v>1</v>
      </c>
      <c r="M9" s="191">
        <v>0</v>
      </c>
      <c r="N9" s="191" t="s">
        <v>134</v>
      </c>
      <c r="O9" s="211" t="s">
        <v>212</v>
      </c>
      <c r="P9" s="191" t="s">
        <v>135</v>
      </c>
      <c r="Q9" s="191">
        <v>0</v>
      </c>
      <c r="R9" s="191">
        <v>1</v>
      </c>
      <c r="S9" s="191">
        <v>0</v>
      </c>
      <c r="T9" s="233" t="s">
        <v>218</v>
      </c>
      <c r="U9" s="230" t="s">
        <v>218</v>
      </c>
      <c r="V9" s="191">
        <v>1</v>
      </c>
      <c r="W9" s="191">
        <v>1</v>
      </c>
      <c r="X9" s="233" t="s">
        <v>218</v>
      </c>
      <c r="Y9" s="230" t="s">
        <v>218</v>
      </c>
      <c r="Z9" s="191">
        <v>0</v>
      </c>
      <c r="AA9" s="191" t="s">
        <v>134</v>
      </c>
      <c r="AB9" s="221" t="s">
        <v>130</v>
      </c>
      <c r="AC9" s="241"/>
      <c r="AE9" s="183" t="s">
        <v>199</v>
      </c>
      <c r="AG9" s="183" t="str">
        <f t="shared" si="0"/>
        <v xml:space="preserve">[x,x,x,x,x,0,0,1,1,0]-&gt;[0,1,0,x,x,1,1,x,x,0];   </v>
      </c>
    </row>
    <row r="10" spans="1:33" ht="15.75" hidden="1" thickBot="1" x14ac:dyDescent="0.3">
      <c r="A10" s="248"/>
      <c r="B10" s="191"/>
      <c r="C10" s="220" t="s">
        <v>135</v>
      </c>
      <c r="D10" s="287" t="s">
        <v>218</v>
      </c>
      <c r="E10" s="214" t="s">
        <v>218</v>
      </c>
      <c r="F10" s="214" t="s">
        <v>218</v>
      </c>
      <c r="G10" s="214" t="s">
        <v>218</v>
      </c>
      <c r="H10" s="214" t="s">
        <v>218</v>
      </c>
      <c r="I10" s="191">
        <v>0</v>
      </c>
      <c r="J10" s="191">
        <v>0</v>
      </c>
      <c r="K10" s="191">
        <v>1</v>
      </c>
      <c r="L10" s="191">
        <v>1</v>
      </c>
      <c r="M10" s="191">
        <v>1</v>
      </c>
      <c r="N10" s="191" t="s">
        <v>134</v>
      </c>
      <c r="O10" s="211" t="s">
        <v>212</v>
      </c>
      <c r="P10" s="191" t="s">
        <v>135</v>
      </c>
      <c r="Q10" s="191">
        <v>0</v>
      </c>
      <c r="R10" s="191">
        <v>1</v>
      </c>
      <c r="S10" s="191">
        <v>1</v>
      </c>
      <c r="T10" s="233" t="s">
        <v>218</v>
      </c>
      <c r="U10" s="230" t="s">
        <v>218</v>
      </c>
      <c r="V10" s="191">
        <v>1</v>
      </c>
      <c r="W10" s="191">
        <v>1</v>
      </c>
      <c r="X10" s="233" t="s">
        <v>218</v>
      </c>
      <c r="Y10" s="230" t="s">
        <v>218</v>
      </c>
      <c r="Z10" s="191">
        <v>0</v>
      </c>
      <c r="AA10" s="191" t="s">
        <v>134</v>
      </c>
      <c r="AB10" s="221" t="s">
        <v>130</v>
      </c>
      <c r="AC10" s="241"/>
      <c r="AG10" s="183" t="str">
        <f t="shared" si="0"/>
        <v xml:space="preserve">[x,x,x,x,x,0,0,1,1,1]-&gt;[0,1,1,x,x,1,1,x,x,0];   </v>
      </c>
    </row>
    <row r="11" spans="1:33" ht="15.75" hidden="1" thickBot="1" x14ac:dyDescent="0.3">
      <c r="A11" s="248"/>
      <c r="B11" s="191"/>
      <c r="C11" s="220" t="s">
        <v>135</v>
      </c>
      <c r="D11" s="288">
        <v>1</v>
      </c>
      <c r="E11" s="214" t="s">
        <v>218</v>
      </c>
      <c r="F11" s="214" t="s">
        <v>218</v>
      </c>
      <c r="G11" s="288">
        <v>0</v>
      </c>
      <c r="H11" s="214" t="s">
        <v>218</v>
      </c>
      <c r="I11" s="191">
        <v>0</v>
      </c>
      <c r="J11" s="191">
        <v>1</v>
      </c>
      <c r="K11" s="191">
        <v>0</v>
      </c>
      <c r="L11" s="191">
        <v>0</v>
      </c>
      <c r="M11" s="191">
        <v>0</v>
      </c>
      <c r="N11" s="191" t="s">
        <v>134</v>
      </c>
      <c r="O11" s="211" t="s">
        <v>212</v>
      </c>
      <c r="P11" s="191" t="s">
        <v>135</v>
      </c>
      <c r="Q11" s="258">
        <v>0</v>
      </c>
      <c r="R11" s="258">
        <v>1</v>
      </c>
      <c r="S11" s="258">
        <v>0</v>
      </c>
      <c r="T11" s="233" t="s">
        <v>218</v>
      </c>
      <c r="U11" s="230" t="s">
        <v>218</v>
      </c>
      <c r="V11" s="258">
        <v>1</v>
      </c>
      <c r="W11" s="258">
        <v>0</v>
      </c>
      <c r="X11" s="257">
        <v>0</v>
      </c>
      <c r="Y11" s="259">
        <v>0</v>
      </c>
      <c r="Z11" s="258">
        <v>0</v>
      </c>
      <c r="AA11" s="258" t="s">
        <v>134</v>
      </c>
      <c r="AB11" s="259" t="s">
        <v>130</v>
      </c>
      <c r="AC11" s="241" t="s">
        <v>216</v>
      </c>
      <c r="AD11" s="267" t="s">
        <v>226</v>
      </c>
      <c r="AE11" s="56" t="s">
        <v>196</v>
      </c>
      <c r="AG11" s="183" t="str">
        <f t="shared" si="0"/>
        <v>[1,x,x,0,x,0,1,0,0,0]-&gt;[0,1,0,x,x,1,0,0,0,0];   "ProfDos RAM</v>
      </c>
    </row>
    <row r="12" spans="1:33" ht="15.75" hidden="1" thickBot="1" x14ac:dyDescent="0.3">
      <c r="A12" s="248"/>
      <c r="B12" s="191"/>
      <c r="C12" s="220" t="s">
        <v>135</v>
      </c>
      <c r="D12" s="289">
        <v>1</v>
      </c>
      <c r="E12" s="214" t="s">
        <v>218</v>
      </c>
      <c r="F12" s="214" t="s">
        <v>218</v>
      </c>
      <c r="G12" s="289">
        <v>0</v>
      </c>
      <c r="H12" s="214" t="s">
        <v>218</v>
      </c>
      <c r="I12" s="191">
        <v>0</v>
      </c>
      <c r="J12" s="191">
        <v>1</v>
      </c>
      <c r="K12" s="191">
        <v>0</v>
      </c>
      <c r="L12" s="191">
        <v>0</v>
      </c>
      <c r="M12" s="191">
        <v>1</v>
      </c>
      <c r="N12" s="191" t="s">
        <v>134</v>
      </c>
      <c r="O12" s="211" t="s">
        <v>212</v>
      </c>
      <c r="P12" s="191" t="s">
        <v>135</v>
      </c>
      <c r="Q12" s="258">
        <v>0</v>
      </c>
      <c r="R12" s="258">
        <v>1</v>
      </c>
      <c r="S12" s="258">
        <v>0</v>
      </c>
      <c r="T12" s="233" t="s">
        <v>218</v>
      </c>
      <c r="U12" s="230" t="s">
        <v>218</v>
      </c>
      <c r="V12" s="258">
        <v>1</v>
      </c>
      <c r="W12" s="258">
        <v>0</v>
      </c>
      <c r="X12" s="257">
        <v>0</v>
      </c>
      <c r="Y12" s="259">
        <v>0</v>
      </c>
      <c r="Z12" s="258">
        <v>0</v>
      </c>
      <c r="AA12" s="258" t="s">
        <v>134</v>
      </c>
      <c r="AB12" s="259" t="s">
        <v>130</v>
      </c>
      <c r="AC12" s="241"/>
      <c r="AD12" s="265"/>
      <c r="AE12" s="194"/>
      <c r="AG12" s="183" t="str">
        <f t="shared" si="0"/>
        <v xml:space="preserve">[1,x,x,0,x,0,1,0,0,1]-&gt;[0,1,0,x,x,1,0,0,0,0];   </v>
      </c>
    </row>
    <row r="13" spans="1:33" ht="15.75" hidden="1" thickBot="1" x14ac:dyDescent="0.3">
      <c r="A13" s="248"/>
      <c r="B13" s="191"/>
      <c r="C13" s="220" t="s">
        <v>135</v>
      </c>
      <c r="D13" s="289">
        <v>1</v>
      </c>
      <c r="E13" s="214" t="s">
        <v>218</v>
      </c>
      <c r="F13" s="214" t="s">
        <v>218</v>
      </c>
      <c r="G13" s="289">
        <v>0</v>
      </c>
      <c r="H13" s="214" t="s">
        <v>218</v>
      </c>
      <c r="I13" s="191">
        <v>0</v>
      </c>
      <c r="J13" s="191">
        <v>1</v>
      </c>
      <c r="K13" s="191">
        <v>0</v>
      </c>
      <c r="L13" s="191">
        <v>1</v>
      </c>
      <c r="M13" s="191">
        <v>0</v>
      </c>
      <c r="N13" s="191" t="s">
        <v>134</v>
      </c>
      <c r="O13" s="211" t="s">
        <v>212</v>
      </c>
      <c r="P13" s="191" t="s">
        <v>135</v>
      </c>
      <c r="Q13" s="258">
        <v>0</v>
      </c>
      <c r="R13" s="258">
        <v>1</v>
      </c>
      <c r="S13" s="258">
        <v>0</v>
      </c>
      <c r="T13" s="233" t="s">
        <v>218</v>
      </c>
      <c r="U13" s="230" t="s">
        <v>218</v>
      </c>
      <c r="V13" s="258">
        <v>1</v>
      </c>
      <c r="W13" s="258">
        <v>0</v>
      </c>
      <c r="X13" s="257">
        <v>0</v>
      </c>
      <c r="Y13" s="259">
        <v>0</v>
      </c>
      <c r="Z13" s="258">
        <v>0</v>
      </c>
      <c r="AA13" s="258" t="s">
        <v>134</v>
      </c>
      <c r="AB13" s="259" t="s">
        <v>130</v>
      </c>
      <c r="AC13" s="241"/>
      <c r="AD13" s="265"/>
      <c r="AE13" s="194" t="s">
        <v>194</v>
      </c>
      <c r="AG13" s="183" t="str">
        <f t="shared" si="0"/>
        <v xml:space="preserve">[1,x,x,0,x,0,1,0,1,0]-&gt;[0,1,0,x,x,1,0,0,0,0];   </v>
      </c>
    </row>
    <row r="14" spans="1:33" ht="15.75" hidden="1" thickBot="1" x14ac:dyDescent="0.3">
      <c r="A14" s="248"/>
      <c r="B14" s="191"/>
      <c r="C14" s="220" t="s">
        <v>135</v>
      </c>
      <c r="D14" s="289">
        <v>1</v>
      </c>
      <c r="E14" s="214" t="s">
        <v>218</v>
      </c>
      <c r="F14" s="214" t="s">
        <v>218</v>
      </c>
      <c r="G14" s="289">
        <v>0</v>
      </c>
      <c r="H14" s="214" t="s">
        <v>218</v>
      </c>
      <c r="I14" s="191">
        <v>0</v>
      </c>
      <c r="J14" s="191">
        <v>1</v>
      </c>
      <c r="K14" s="191">
        <v>0</v>
      </c>
      <c r="L14" s="191">
        <v>1</v>
      </c>
      <c r="M14" s="191">
        <v>1</v>
      </c>
      <c r="N14" s="191" t="s">
        <v>134</v>
      </c>
      <c r="O14" s="211" t="s">
        <v>212</v>
      </c>
      <c r="P14" s="191" t="s">
        <v>135</v>
      </c>
      <c r="Q14" s="258">
        <v>0</v>
      </c>
      <c r="R14" s="258">
        <v>1</v>
      </c>
      <c r="S14" s="258">
        <v>0</v>
      </c>
      <c r="T14" s="233" t="s">
        <v>218</v>
      </c>
      <c r="U14" s="230" t="s">
        <v>218</v>
      </c>
      <c r="V14" s="258">
        <v>1</v>
      </c>
      <c r="W14" s="258">
        <v>0</v>
      </c>
      <c r="X14" s="257">
        <v>0</v>
      </c>
      <c r="Y14" s="259">
        <v>0</v>
      </c>
      <c r="Z14" s="258">
        <v>0</v>
      </c>
      <c r="AA14" s="258" t="s">
        <v>134</v>
      </c>
      <c r="AB14" s="259" t="s">
        <v>130</v>
      </c>
      <c r="AC14" s="241"/>
      <c r="AD14" s="266"/>
      <c r="AE14" s="194"/>
      <c r="AG14" s="183" t="str">
        <f t="shared" si="0"/>
        <v xml:space="preserve">[1,x,x,0,x,0,1,0,1,1]-&gt;[0,1,0,x,x,1,0,0,0,0];   </v>
      </c>
    </row>
    <row r="15" spans="1:33" x14ac:dyDescent="0.25">
      <c r="A15" s="248"/>
      <c r="B15" s="191"/>
      <c r="C15" s="220" t="s">
        <v>135</v>
      </c>
      <c r="D15" s="289">
        <v>1</v>
      </c>
      <c r="E15" s="214" t="s">
        <v>218</v>
      </c>
      <c r="F15" s="214" t="s">
        <v>218</v>
      </c>
      <c r="G15" s="289">
        <v>0</v>
      </c>
      <c r="H15" s="214" t="s">
        <v>218</v>
      </c>
      <c r="I15" s="217">
        <v>0</v>
      </c>
      <c r="J15" s="217">
        <v>1</v>
      </c>
      <c r="K15" s="217">
        <v>1</v>
      </c>
      <c r="L15" s="217">
        <v>0</v>
      </c>
      <c r="M15" s="217">
        <v>0</v>
      </c>
      <c r="N15" s="217" t="s">
        <v>134</v>
      </c>
      <c r="O15" s="218" t="s">
        <v>212</v>
      </c>
      <c r="P15" s="217" t="s">
        <v>135</v>
      </c>
      <c r="Q15" s="254">
        <v>0</v>
      </c>
      <c r="R15" s="254">
        <v>1</v>
      </c>
      <c r="S15" s="254">
        <v>0</v>
      </c>
      <c r="T15" s="254">
        <v>1</v>
      </c>
      <c r="U15" s="254">
        <v>0</v>
      </c>
      <c r="V15" s="254">
        <v>0</v>
      </c>
      <c r="W15" s="254">
        <v>1</v>
      </c>
      <c r="X15" s="253">
        <v>0</v>
      </c>
      <c r="Y15" s="255">
        <v>0</v>
      </c>
      <c r="Z15" s="255">
        <v>0</v>
      </c>
      <c r="AA15" s="258" t="s">
        <v>134</v>
      </c>
      <c r="AB15" s="259" t="s">
        <v>130</v>
      </c>
      <c r="AC15" s="241" t="s">
        <v>216</v>
      </c>
      <c r="AD15" s="263" t="s">
        <v>174</v>
      </c>
      <c r="AE15" s="248" t="s">
        <v>191</v>
      </c>
      <c r="AG15" s="183" t="str">
        <f t="shared" si="0"/>
        <v>[1,x,x,0,x,0,1,1,0,0]-&gt;[0,1,0,1,0,0,1,0,0,0];   "DOS-Extension</v>
      </c>
    </row>
    <row r="16" spans="1:33" ht="15.75" thickBot="1" x14ac:dyDescent="0.3">
      <c r="A16" s="248"/>
      <c r="B16" s="191"/>
      <c r="C16" s="220" t="s">
        <v>135</v>
      </c>
      <c r="D16" s="289">
        <v>1</v>
      </c>
      <c r="E16" s="214" t="s">
        <v>218</v>
      </c>
      <c r="F16" s="214" t="s">
        <v>218</v>
      </c>
      <c r="G16" s="289">
        <v>0</v>
      </c>
      <c r="H16" s="214" t="s">
        <v>218</v>
      </c>
      <c r="I16" s="191">
        <v>0</v>
      </c>
      <c r="J16" s="191">
        <v>1</v>
      </c>
      <c r="K16" s="191">
        <v>1</v>
      </c>
      <c r="L16" s="191">
        <v>0</v>
      </c>
      <c r="M16" s="191">
        <v>1</v>
      </c>
      <c r="N16" s="191" t="s">
        <v>134</v>
      </c>
      <c r="O16" s="211" t="s">
        <v>212</v>
      </c>
      <c r="P16" s="191" t="s">
        <v>135</v>
      </c>
      <c r="Q16" s="258">
        <v>0</v>
      </c>
      <c r="R16" s="258">
        <v>1</v>
      </c>
      <c r="S16" s="258">
        <v>0</v>
      </c>
      <c r="T16" s="258">
        <v>1</v>
      </c>
      <c r="U16" s="258">
        <v>0</v>
      </c>
      <c r="V16" s="258">
        <v>0</v>
      </c>
      <c r="W16" s="258">
        <v>1</v>
      </c>
      <c r="X16" s="257">
        <v>0</v>
      </c>
      <c r="Y16" s="259">
        <v>0</v>
      </c>
      <c r="Z16" s="259">
        <v>1</v>
      </c>
      <c r="AA16" s="258" t="s">
        <v>134</v>
      </c>
      <c r="AB16" s="259" t="s">
        <v>130</v>
      </c>
      <c r="AC16" s="241"/>
      <c r="AD16" s="264"/>
      <c r="AE16" s="248"/>
      <c r="AG16" s="183" t="str">
        <f t="shared" si="0"/>
        <v xml:space="preserve">[1,x,x,0,x,0,1,1,0,1]-&gt;[0,1,0,1,0,0,1,0,0,1];   </v>
      </c>
    </row>
    <row r="17" spans="1:33" x14ac:dyDescent="0.25">
      <c r="A17" s="248"/>
      <c r="B17" s="191"/>
      <c r="C17" s="220" t="s">
        <v>135</v>
      </c>
      <c r="D17" s="289">
        <v>1</v>
      </c>
      <c r="E17" s="214" t="s">
        <v>218</v>
      </c>
      <c r="F17" s="214" t="s">
        <v>218</v>
      </c>
      <c r="G17" s="289">
        <v>0</v>
      </c>
      <c r="H17" s="214" t="s">
        <v>218</v>
      </c>
      <c r="I17" s="191">
        <v>0</v>
      </c>
      <c r="J17" s="191">
        <v>1</v>
      </c>
      <c r="K17" s="191">
        <v>1</v>
      </c>
      <c r="L17" s="191">
        <v>1</v>
      </c>
      <c r="M17" s="191">
        <v>0</v>
      </c>
      <c r="N17" s="191" t="s">
        <v>134</v>
      </c>
      <c r="O17" s="211" t="s">
        <v>212</v>
      </c>
      <c r="P17" s="191" t="s">
        <v>135</v>
      </c>
      <c r="Q17" s="258">
        <v>0</v>
      </c>
      <c r="R17" s="258">
        <v>1</v>
      </c>
      <c r="S17" s="258">
        <v>0</v>
      </c>
      <c r="T17" s="258">
        <v>1</v>
      </c>
      <c r="U17" s="258">
        <v>0</v>
      </c>
      <c r="V17" s="258">
        <v>0</v>
      </c>
      <c r="W17" s="258">
        <v>1</v>
      </c>
      <c r="X17" s="257">
        <v>1</v>
      </c>
      <c r="Y17" s="259">
        <v>0</v>
      </c>
      <c r="Z17" s="259">
        <v>0</v>
      </c>
      <c r="AA17" s="258" t="s">
        <v>134</v>
      </c>
      <c r="AB17" s="259" t="s">
        <v>130</v>
      </c>
      <c r="AC17" s="241" t="s">
        <v>216</v>
      </c>
      <c r="AD17" s="263" t="s">
        <v>173</v>
      </c>
      <c r="AE17" s="248" t="s">
        <v>188</v>
      </c>
      <c r="AG17" s="183" t="str">
        <f t="shared" si="0"/>
        <v>[1,x,x,0,x,0,1,1,1,0]-&gt;[0,1,0,1,0,0,1,1,0,0];   "GCR</v>
      </c>
    </row>
    <row r="18" spans="1:33" ht="15.75" thickBot="1" x14ac:dyDescent="0.3">
      <c r="A18" s="248"/>
      <c r="B18" s="191"/>
      <c r="C18" s="220" t="s">
        <v>135</v>
      </c>
      <c r="D18" s="289">
        <v>1</v>
      </c>
      <c r="E18" s="214" t="s">
        <v>218</v>
      </c>
      <c r="F18" s="214" t="s">
        <v>218</v>
      </c>
      <c r="G18" s="290">
        <v>0</v>
      </c>
      <c r="H18" s="214" t="s">
        <v>218</v>
      </c>
      <c r="I18" s="223">
        <v>0</v>
      </c>
      <c r="J18" s="223">
        <v>1</v>
      </c>
      <c r="K18" s="223">
        <v>1</v>
      </c>
      <c r="L18" s="223">
        <v>1</v>
      </c>
      <c r="M18" s="223">
        <v>1</v>
      </c>
      <c r="N18" s="223" t="s">
        <v>134</v>
      </c>
      <c r="O18" s="224" t="s">
        <v>212</v>
      </c>
      <c r="P18" s="223" t="s">
        <v>135</v>
      </c>
      <c r="Q18" s="261">
        <v>0</v>
      </c>
      <c r="R18" s="261">
        <v>1</v>
      </c>
      <c r="S18" s="261">
        <v>0</v>
      </c>
      <c r="T18" s="261">
        <v>1</v>
      </c>
      <c r="U18" s="261">
        <v>0</v>
      </c>
      <c r="V18" s="261">
        <v>0</v>
      </c>
      <c r="W18" s="261">
        <v>1</v>
      </c>
      <c r="X18" s="260">
        <v>1</v>
      </c>
      <c r="Y18" s="262">
        <v>1</v>
      </c>
      <c r="Z18" s="262">
        <v>0</v>
      </c>
      <c r="AA18" s="258" t="s">
        <v>134</v>
      </c>
      <c r="AB18" s="259" t="s">
        <v>130</v>
      </c>
      <c r="AC18" s="241"/>
      <c r="AD18" s="264"/>
      <c r="AE18" s="248"/>
      <c r="AG18" s="183" t="str">
        <f t="shared" si="0"/>
        <v xml:space="preserve">[1,x,x,0,x,0,1,1,1,1]-&gt;[0,1,0,1,0,0,1,1,1,0];   </v>
      </c>
    </row>
    <row r="19" spans="1:33" ht="15.75" hidden="1" thickBot="1" x14ac:dyDescent="0.3">
      <c r="A19" s="248"/>
      <c r="B19" s="191"/>
      <c r="C19" s="220" t="s">
        <v>135</v>
      </c>
      <c r="D19" s="289">
        <v>1</v>
      </c>
      <c r="E19" s="214" t="s">
        <v>218</v>
      </c>
      <c r="F19" s="214" t="s">
        <v>218</v>
      </c>
      <c r="G19" s="214" t="s">
        <v>218</v>
      </c>
      <c r="H19" s="214" t="s">
        <v>218</v>
      </c>
      <c r="I19" s="191">
        <v>1</v>
      </c>
      <c r="J19" s="191">
        <v>0</v>
      </c>
      <c r="K19" s="191">
        <v>0</v>
      </c>
      <c r="L19" s="191">
        <v>0</v>
      </c>
      <c r="M19" s="191">
        <v>0</v>
      </c>
      <c r="N19" s="191" t="s">
        <v>134</v>
      </c>
      <c r="O19" s="211" t="s">
        <v>212</v>
      </c>
      <c r="P19" s="191" t="s">
        <v>135</v>
      </c>
      <c r="Q19" s="191">
        <v>1</v>
      </c>
      <c r="R19" s="191">
        <v>0</v>
      </c>
      <c r="S19" s="191">
        <v>0</v>
      </c>
      <c r="T19" s="233" t="s">
        <v>218</v>
      </c>
      <c r="U19" s="230" t="s">
        <v>218</v>
      </c>
      <c r="V19" s="191">
        <v>1</v>
      </c>
      <c r="W19" s="191">
        <v>1</v>
      </c>
      <c r="X19" s="233" t="s">
        <v>218</v>
      </c>
      <c r="Y19" s="230" t="s">
        <v>218</v>
      </c>
      <c r="Z19" s="191">
        <v>0</v>
      </c>
      <c r="AA19" s="191" t="s">
        <v>134</v>
      </c>
      <c r="AB19" s="221" t="s">
        <v>130</v>
      </c>
      <c r="AC19" s="241"/>
      <c r="AE19" s="250" t="s">
        <v>183</v>
      </c>
      <c r="AG19" s="183" t="str">
        <f t="shared" si="0"/>
        <v xml:space="preserve">[1,x,x,x,x,1,0,0,0,0]-&gt;[1,0,0,x,x,1,1,x,x,0];   </v>
      </c>
    </row>
    <row r="20" spans="1:33" ht="15.75" hidden="1" thickBot="1" x14ac:dyDescent="0.3">
      <c r="A20" s="248"/>
      <c r="B20" s="191"/>
      <c r="C20" s="220" t="s">
        <v>135</v>
      </c>
      <c r="D20" s="289">
        <v>1</v>
      </c>
      <c r="E20" s="214" t="s">
        <v>218</v>
      </c>
      <c r="F20" s="214" t="s">
        <v>218</v>
      </c>
      <c r="G20" s="214" t="s">
        <v>218</v>
      </c>
      <c r="H20" s="214" t="s">
        <v>218</v>
      </c>
      <c r="I20" s="191">
        <v>1</v>
      </c>
      <c r="J20" s="191">
        <v>0</v>
      </c>
      <c r="K20" s="191">
        <v>0</v>
      </c>
      <c r="L20" s="191">
        <v>0</v>
      </c>
      <c r="M20" s="191">
        <v>1</v>
      </c>
      <c r="N20" s="191" t="s">
        <v>134</v>
      </c>
      <c r="O20" s="211" t="s">
        <v>212</v>
      </c>
      <c r="P20" s="191" t="s">
        <v>135</v>
      </c>
      <c r="Q20" s="191">
        <v>1</v>
      </c>
      <c r="R20" s="191">
        <v>0</v>
      </c>
      <c r="S20" s="191">
        <v>1</v>
      </c>
      <c r="T20" s="233" t="s">
        <v>218</v>
      </c>
      <c r="U20" s="230" t="s">
        <v>218</v>
      </c>
      <c r="V20" s="191">
        <v>1</v>
      </c>
      <c r="W20" s="191">
        <v>1</v>
      </c>
      <c r="X20" s="233" t="s">
        <v>218</v>
      </c>
      <c r="Y20" s="230" t="s">
        <v>218</v>
      </c>
      <c r="Z20" s="191">
        <v>0</v>
      </c>
      <c r="AA20" s="191" t="s">
        <v>134</v>
      </c>
      <c r="AB20" s="221" t="s">
        <v>130</v>
      </c>
      <c r="AC20" s="241"/>
      <c r="AE20" s="251"/>
      <c r="AG20" s="183" t="str">
        <f t="shared" si="0"/>
        <v xml:space="preserve">[1,x,x,x,x,1,0,0,0,1]-&gt;[1,0,1,x,x,1,1,x,x,0];   </v>
      </c>
    </row>
    <row r="21" spans="1:33" ht="15.75" hidden="1" thickBot="1" x14ac:dyDescent="0.3">
      <c r="A21" s="248"/>
      <c r="B21" s="191"/>
      <c r="C21" s="220" t="s">
        <v>135</v>
      </c>
      <c r="D21" s="289">
        <v>1</v>
      </c>
      <c r="E21" s="214" t="s">
        <v>218</v>
      </c>
      <c r="F21" s="214" t="s">
        <v>218</v>
      </c>
      <c r="G21" s="214" t="s">
        <v>218</v>
      </c>
      <c r="H21" s="214" t="s">
        <v>218</v>
      </c>
      <c r="I21" s="191">
        <v>1</v>
      </c>
      <c r="J21" s="191">
        <v>0</v>
      </c>
      <c r="K21" s="191">
        <v>0</v>
      </c>
      <c r="L21" s="191">
        <v>1</v>
      </c>
      <c r="M21" s="191">
        <v>0</v>
      </c>
      <c r="N21" s="191" t="s">
        <v>134</v>
      </c>
      <c r="O21" s="211" t="s">
        <v>212</v>
      </c>
      <c r="P21" s="191" t="s">
        <v>135</v>
      </c>
      <c r="Q21" s="191">
        <v>1</v>
      </c>
      <c r="R21" s="191">
        <v>1</v>
      </c>
      <c r="S21" s="191">
        <v>0</v>
      </c>
      <c r="T21" s="233" t="s">
        <v>218</v>
      </c>
      <c r="U21" s="230" t="s">
        <v>218</v>
      </c>
      <c r="V21" s="191">
        <v>1</v>
      </c>
      <c r="W21" s="191">
        <v>1</v>
      </c>
      <c r="X21" s="233" t="s">
        <v>218</v>
      </c>
      <c r="Y21" s="230" t="s">
        <v>218</v>
      </c>
      <c r="Z21" s="191">
        <v>0</v>
      </c>
      <c r="AA21" s="191" t="s">
        <v>134</v>
      </c>
      <c r="AB21" s="221" t="s">
        <v>130</v>
      </c>
      <c r="AC21" s="241"/>
      <c r="AE21" s="251" t="s">
        <v>181</v>
      </c>
      <c r="AG21" s="183" t="str">
        <f t="shared" si="0"/>
        <v xml:space="preserve">[1,x,x,x,x,1,0,0,1,0]-&gt;[1,1,0,x,x,1,1,x,x,0];   </v>
      </c>
    </row>
    <row r="22" spans="1:33" ht="15.75" hidden="1" thickBot="1" x14ac:dyDescent="0.3">
      <c r="A22" s="248"/>
      <c r="B22" s="191"/>
      <c r="C22" s="220" t="s">
        <v>135</v>
      </c>
      <c r="D22" s="289">
        <v>1</v>
      </c>
      <c r="E22" s="214" t="s">
        <v>218</v>
      </c>
      <c r="F22" s="214" t="s">
        <v>218</v>
      </c>
      <c r="G22" s="214" t="s">
        <v>218</v>
      </c>
      <c r="H22" s="214" t="s">
        <v>218</v>
      </c>
      <c r="I22" s="191">
        <v>1</v>
      </c>
      <c r="J22" s="191">
        <v>0</v>
      </c>
      <c r="K22" s="191">
        <v>0</v>
      </c>
      <c r="L22" s="191">
        <v>1</v>
      </c>
      <c r="M22" s="191">
        <v>1</v>
      </c>
      <c r="N22" s="191" t="s">
        <v>134</v>
      </c>
      <c r="O22" s="211" t="s">
        <v>212</v>
      </c>
      <c r="P22" s="191" t="s">
        <v>135</v>
      </c>
      <c r="Q22" s="191">
        <v>1</v>
      </c>
      <c r="R22" s="191">
        <v>1</v>
      </c>
      <c r="S22" s="191">
        <v>1</v>
      </c>
      <c r="T22" s="233" t="s">
        <v>218</v>
      </c>
      <c r="U22" s="230" t="s">
        <v>218</v>
      </c>
      <c r="V22" s="191">
        <v>1</v>
      </c>
      <c r="W22" s="191">
        <v>1</v>
      </c>
      <c r="X22" s="233" t="s">
        <v>218</v>
      </c>
      <c r="Y22" s="230" t="s">
        <v>218</v>
      </c>
      <c r="Z22" s="191">
        <v>0</v>
      </c>
      <c r="AA22" s="191" t="s">
        <v>134</v>
      </c>
      <c r="AB22" s="221" t="s">
        <v>130</v>
      </c>
      <c r="AC22" s="241"/>
      <c r="AE22" s="251"/>
      <c r="AG22" s="183" t="str">
        <f t="shared" si="0"/>
        <v xml:space="preserve">[1,x,x,x,x,1,0,0,1,1]-&gt;[1,1,1,x,x,1,1,x,x,0];   </v>
      </c>
    </row>
    <row r="23" spans="1:33" ht="15.75" hidden="1" thickBot="1" x14ac:dyDescent="0.3">
      <c r="A23" s="248"/>
      <c r="B23" s="191"/>
      <c r="C23" s="220" t="s">
        <v>135</v>
      </c>
      <c r="D23" s="289">
        <v>1</v>
      </c>
      <c r="E23" s="214" t="s">
        <v>218</v>
      </c>
      <c r="F23" s="214" t="s">
        <v>218</v>
      </c>
      <c r="G23" s="214" t="s">
        <v>218</v>
      </c>
      <c r="H23" s="214" t="s">
        <v>218</v>
      </c>
      <c r="I23" s="191">
        <v>1</v>
      </c>
      <c r="J23" s="191">
        <v>0</v>
      </c>
      <c r="K23" s="191">
        <v>1</v>
      </c>
      <c r="L23" s="191">
        <v>0</v>
      </c>
      <c r="M23" s="191">
        <v>0</v>
      </c>
      <c r="N23" s="191" t="s">
        <v>134</v>
      </c>
      <c r="O23" s="211" t="s">
        <v>212</v>
      </c>
      <c r="P23" s="191" t="s">
        <v>135</v>
      </c>
      <c r="Q23" s="191">
        <v>0</v>
      </c>
      <c r="R23" s="191">
        <v>1</v>
      </c>
      <c r="S23" s="191">
        <v>0</v>
      </c>
      <c r="T23" s="233" t="s">
        <v>218</v>
      </c>
      <c r="U23" s="230" t="s">
        <v>218</v>
      </c>
      <c r="V23" s="191">
        <v>1</v>
      </c>
      <c r="W23" s="191">
        <v>1</v>
      </c>
      <c r="X23" s="233" t="s">
        <v>218</v>
      </c>
      <c r="Y23" s="230" t="s">
        <v>218</v>
      </c>
      <c r="Z23" s="191">
        <v>0</v>
      </c>
      <c r="AA23" s="191" t="s">
        <v>134</v>
      </c>
      <c r="AB23" s="221" t="s">
        <v>130</v>
      </c>
      <c r="AC23" s="241"/>
      <c r="AE23" s="251" t="s">
        <v>178</v>
      </c>
      <c r="AG23" s="183" t="str">
        <f t="shared" si="0"/>
        <v xml:space="preserve">[1,x,x,x,x,1,0,1,0,0]-&gt;[0,1,0,x,x,1,1,x,x,0];   </v>
      </c>
    </row>
    <row r="24" spans="1:33" ht="15.75" hidden="1" thickBot="1" x14ac:dyDescent="0.3">
      <c r="A24" s="248"/>
      <c r="B24" s="191"/>
      <c r="C24" s="220" t="s">
        <v>135</v>
      </c>
      <c r="D24" s="289">
        <v>1</v>
      </c>
      <c r="E24" s="214" t="s">
        <v>218</v>
      </c>
      <c r="F24" s="214" t="s">
        <v>218</v>
      </c>
      <c r="G24" s="214" t="s">
        <v>218</v>
      </c>
      <c r="H24" s="214" t="s">
        <v>218</v>
      </c>
      <c r="I24" s="191">
        <v>1</v>
      </c>
      <c r="J24" s="191">
        <v>0</v>
      </c>
      <c r="K24" s="191">
        <v>1</v>
      </c>
      <c r="L24" s="191">
        <v>0</v>
      </c>
      <c r="M24" s="191">
        <v>1</v>
      </c>
      <c r="N24" s="191" t="s">
        <v>134</v>
      </c>
      <c r="O24" s="211" t="s">
        <v>212</v>
      </c>
      <c r="P24" s="191" t="s">
        <v>135</v>
      </c>
      <c r="Q24" s="191">
        <v>0</v>
      </c>
      <c r="R24" s="191">
        <v>0</v>
      </c>
      <c r="S24" s="191">
        <v>1</v>
      </c>
      <c r="T24" s="233" t="s">
        <v>218</v>
      </c>
      <c r="U24" s="230" t="s">
        <v>218</v>
      </c>
      <c r="V24" s="191">
        <v>1</v>
      </c>
      <c r="W24" s="191">
        <v>1</v>
      </c>
      <c r="X24" s="233" t="s">
        <v>218</v>
      </c>
      <c r="Y24" s="230" t="s">
        <v>218</v>
      </c>
      <c r="Z24" s="191">
        <v>0</v>
      </c>
      <c r="AA24" s="191" t="s">
        <v>134</v>
      </c>
      <c r="AB24" s="221" t="s">
        <v>130</v>
      </c>
      <c r="AC24" s="241"/>
      <c r="AE24" s="251"/>
      <c r="AG24" s="183" t="str">
        <f t="shared" si="0"/>
        <v xml:space="preserve">[1,x,x,x,x,1,0,1,0,1]-&gt;[0,0,1,x,x,1,1,x,x,0];   </v>
      </c>
    </row>
    <row r="25" spans="1:33" ht="15.75" hidden="1" thickBot="1" x14ac:dyDescent="0.3">
      <c r="A25" s="248"/>
      <c r="B25" s="191"/>
      <c r="C25" s="220" t="s">
        <v>135</v>
      </c>
      <c r="D25" s="289">
        <v>1</v>
      </c>
      <c r="E25" s="214" t="s">
        <v>218</v>
      </c>
      <c r="F25" s="214" t="s">
        <v>218</v>
      </c>
      <c r="G25" s="214" t="s">
        <v>218</v>
      </c>
      <c r="H25" s="214" t="s">
        <v>218</v>
      </c>
      <c r="I25" s="191">
        <v>1</v>
      </c>
      <c r="J25" s="191">
        <v>0</v>
      </c>
      <c r="K25" s="191">
        <v>1</v>
      </c>
      <c r="L25" s="191">
        <v>1</v>
      </c>
      <c r="M25" s="191">
        <v>0</v>
      </c>
      <c r="N25" s="191" t="s">
        <v>134</v>
      </c>
      <c r="O25" s="211" t="s">
        <v>212</v>
      </c>
      <c r="P25" s="191" t="s">
        <v>135</v>
      </c>
      <c r="Q25" s="191">
        <v>0</v>
      </c>
      <c r="R25" s="191">
        <v>1</v>
      </c>
      <c r="S25" s="191">
        <v>0</v>
      </c>
      <c r="T25" s="233" t="s">
        <v>218</v>
      </c>
      <c r="U25" s="230" t="s">
        <v>218</v>
      </c>
      <c r="V25" s="191">
        <v>1</v>
      </c>
      <c r="W25" s="191">
        <v>1</v>
      </c>
      <c r="X25" s="233" t="s">
        <v>218</v>
      </c>
      <c r="Y25" s="230" t="s">
        <v>218</v>
      </c>
      <c r="Z25" s="191">
        <v>0</v>
      </c>
      <c r="AA25" s="191" t="s">
        <v>134</v>
      </c>
      <c r="AB25" s="221" t="s">
        <v>130</v>
      </c>
      <c r="AC25" s="241"/>
      <c r="AE25" s="251" t="s">
        <v>176</v>
      </c>
      <c r="AG25" s="183" t="str">
        <f t="shared" si="0"/>
        <v xml:space="preserve">[1,x,x,x,x,1,0,1,1,0]-&gt;[0,1,0,x,x,1,1,x,x,0];   </v>
      </c>
    </row>
    <row r="26" spans="1:33" ht="15.75" hidden="1" thickBot="1" x14ac:dyDescent="0.3">
      <c r="A26" s="248"/>
      <c r="B26" s="191"/>
      <c r="C26" s="220" t="s">
        <v>135</v>
      </c>
      <c r="D26" s="289">
        <v>1</v>
      </c>
      <c r="E26" s="214" t="s">
        <v>218</v>
      </c>
      <c r="F26" s="214" t="s">
        <v>218</v>
      </c>
      <c r="G26" s="214" t="s">
        <v>218</v>
      </c>
      <c r="H26" s="214" t="s">
        <v>218</v>
      </c>
      <c r="I26" s="191">
        <v>1</v>
      </c>
      <c r="J26" s="191">
        <v>0</v>
      </c>
      <c r="K26" s="191">
        <v>1</v>
      </c>
      <c r="L26" s="191">
        <v>1</v>
      </c>
      <c r="M26" s="191">
        <v>1</v>
      </c>
      <c r="N26" s="191" t="s">
        <v>134</v>
      </c>
      <c r="O26" s="211" t="s">
        <v>212</v>
      </c>
      <c r="P26" s="191" t="s">
        <v>135</v>
      </c>
      <c r="Q26" s="191">
        <v>0</v>
      </c>
      <c r="R26" s="191">
        <v>0</v>
      </c>
      <c r="S26" s="191">
        <v>1</v>
      </c>
      <c r="T26" s="233" t="s">
        <v>218</v>
      </c>
      <c r="U26" s="230" t="s">
        <v>218</v>
      </c>
      <c r="V26" s="191">
        <v>1</v>
      </c>
      <c r="W26" s="191">
        <v>1</v>
      </c>
      <c r="X26" s="233" t="s">
        <v>218</v>
      </c>
      <c r="Y26" s="230" t="s">
        <v>218</v>
      </c>
      <c r="Z26" s="191">
        <v>0</v>
      </c>
      <c r="AA26" s="191" t="s">
        <v>134</v>
      </c>
      <c r="AB26" s="221" t="s">
        <v>130</v>
      </c>
      <c r="AC26" s="241"/>
      <c r="AE26" s="251"/>
      <c r="AG26" s="183" t="str">
        <f t="shared" si="0"/>
        <v xml:space="preserve">[1,x,x,x,x,1,0,1,1,1]-&gt;[0,0,1,x,x,1,1,x,x,0];   </v>
      </c>
    </row>
    <row r="27" spans="1:33" ht="15.75" hidden="1" thickBot="1" x14ac:dyDescent="0.3">
      <c r="A27" s="248"/>
      <c r="B27" s="191"/>
      <c r="C27" s="220" t="s">
        <v>135</v>
      </c>
      <c r="D27" s="289">
        <v>1</v>
      </c>
      <c r="E27" s="294">
        <v>0</v>
      </c>
      <c r="F27" s="214" t="s">
        <v>218</v>
      </c>
      <c r="G27" s="288">
        <v>0</v>
      </c>
      <c r="H27" s="214" t="s">
        <v>218</v>
      </c>
      <c r="I27" s="217">
        <v>1</v>
      </c>
      <c r="J27" s="217">
        <v>1</v>
      </c>
      <c r="K27" s="219">
        <v>0</v>
      </c>
      <c r="L27" s="191">
        <v>0</v>
      </c>
      <c r="M27" s="191">
        <v>0</v>
      </c>
      <c r="N27" s="191" t="s">
        <v>134</v>
      </c>
      <c r="O27" s="211" t="s">
        <v>212</v>
      </c>
      <c r="P27" s="191" t="s">
        <v>135</v>
      </c>
      <c r="Q27" s="216">
        <v>1</v>
      </c>
      <c r="R27" s="217">
        <v>0</v>
      </c>
      <c r="S27" s="219">
        <v>0</v>
      </c>
      <c r="T27" s="233" t="s">
        <v>218</v>
      </c>
      <c r="U27" s="230" t="s">
        <v>218</v>
      </c>
      <c r="V27" s="216">
        <v>1</v>
      </c>
      <c r="W27" s="217">
        <v>1</v>
      </c>
      <c r="X27" s="233" t="s">
        <v>218</v>
      </c>
      <c r="Y27" s="230" t="s">
        <v>218</v>
      </c>
      <c r="Z27" s="191">
        <v>0</v>
      </c>
      <c r="AA27" s="191" t="s">
        <v>134</v>
      </c>
      <c r="AB27" s="221" t="s">
        <v>130</v>
      </c>
      <c r="AC27" s="241" t="s">
        <v>216</v>
      </c>
      <c r="AD27" s="269" t="s">
        <v>217</v>
      </c>
      <c r="AE27" s="251" t="s">
        <v>172</v>
      </c>
      <c r="AG27" s="183" t="str">
        <f t="shared" si="0"/>
        <v>[1,0,x,0,x,1,1,0,0,0]-&gt;[1,0,0,x,x,1,1,x,x,0];   "Low-Rom auf dem Board</v>
      </c>
    </row>
    <row r="28" spans="1:33" ht="15.75" hidden="1" thickBot="1" x14ac:dyDescent="0.3">
      <c r="A28" s="248"/>
      <c r="B28" s="191"/>
      <c r="C28" s="220" t="s">
        <v>135</v>
      </c>
      <c r="D28" s="289">
        <v>1</v>
      </c>
      <c r="E28" s="273">
        <v>0</v>
      </c>
      <c r="F28" s="214" t="s">
        <v>218</v>
      </c>
      <c r="G28" s="289">
        <v>0</v>
      </c>
      <c r="H28" s="214" t="s">
        <v>218</v>
      </c>
      <c r="I28" s="191">
        <v>1</v>
      </c>
      <c r="J28" s="191">
        <v>1</v>
      </c>
      <c r="K28" s="221">
        <v>0</v>
      </c>
      <c r="L28" s="191">
        <v>0</v>
      </c>
      <c r="M28" s="191">
        <v>1</v>
      </c>
      <c r="N28" s="191" t="s">
        <v>134</v>
      </c>
      <c r="O28" s="211" t="s">
        <v>212</v>
      </c>
      <c r="P28" s="191" t="s">
        <v>135</v>
      </c>
      <c r="Q28" s="220">
        <v>1</v>
      </c>
      <c r="R28" s="191">
        <v>0</v>
      </c>
      <c r="S28" s="221">
        <v>1</v>
      </c>
      <c r="T28" s="233" t="s">
        <v>218</v>
      </c>
      <c r="U28" s="230" t="s">
        <v>218</v>
      </c>
      <c r="V28" s="220">
        <v>1</v>
      </c>
      <c r="W28" s="191">
        <v>1</v>
      </c>
      <c r="X28" s="233" t="s">
        <v>218</v>
      </c>
      <c r="Y28" s="230" t="s">
        <v>218</v>
      </c>
      <c r="Z28" s="191">
        <v>0</v>
      </c>
      <c r="AA28" s="191" t="s">
        <v>134</v>
      </c>
      <c r="AB28" s="221" t="s">
        <v>130</v>
      </c>
      <c r="AD28" s="251"/>
      <c r="AE28" s="251"/>
      <c r="AG28" s="183" t="str">
        <f t="shared" si="0"/>
        <v xml:space="preserve">[1,0,x,0,x,1,1,0,0,1]-&gt;[1,0,1,x,x,1,1,x,x,0];   </v>
      </c>
    </row>
    <row r="29" spans="1:33" ht="15.75" hidden="1" thickBot="1" x14ac:dyDescent="0.3">
      <c r="A29" s="248"/>
      <c r="B29" s="191"/>
      <c r="C29" s="220" t="s">
        <v>135</v>
      </c>
      <c r="D29" s="289">
        <v>1</v>
      </c>
      <c r="E29" s="273">
        <v>0</v>
      </c>
      <c r="F29" s="214" t="s">
        <v>218</v>
      </c>
      <c r="G29" s="289">
        <v>0</v>
      </c>
      <c r="H29" s="214" t="s">
        <v>218</v>
      </c>
      <c r="I29" s="191">
        <v>1</v>
      </c>
      <c r="J29" s="191">
        <v>1</v>
      </c>
      <c r="K29" s="221">
        <v>0</v>
      </c>
      <c r="L29" s="191">
        <v>1</v>
      </c>
      <c r="M29" s="191">
        <v>0</v>
      </c>
      <c r="N29" s="191" t="s">
        <v>134</v>
      </c>
      <c r="O29" s="211" t="s">
        <v>212</v>
      </c>
      <c r="P29" s="191" t="s">
        <v>135</v>
      </c>
      <c r="Q29" s="220">
        <v>1</v>
      </c>
      <c r="R29" s="191">
        <v>1</v>
      </c>
      <c r="S29" s="221">
        <v>0</v>
      </c>
      <c r="T29" s="233" t="s">
        <v>218</v>
      </c>
      <c r="U29" s="230" t="s">
        <v>218</v>
      </c>
      <c r="V29" s="220">
        <v>1</v>
      </c>
      <c r="W29" s="191">
        <v>1</v>
      </c>
      <c r="X29" s="233" t="s">
        <v>218</v>
      </c>
      <c r="Y29" s="230" t="s">
        <v>218</v>
      </c>
      <c r="Z29" s="191">
        <v>0</v>
      </c>
      <c r="AA29" s="191" t="s">
        <v>134</v>
      </c>
      <c r="AB29" s="221" t="s">
        <v>130</v>
      </c>
      <c r="AC29" s="241"/>
      <c r="AD29" s="251"/>
      <c r="AE29" s="251" t="s">
        <v>170</v>
      </c>
      <c r="AG29" s="183" t="str">
        <f t="shared" si="0"/>
        <v xml:space="preserve">[1,0,x,0,x,1,1,0,1,0]-&gt;[1,1,0,x,x,1,1,x,x,0];   </v>
      </c>
    </row>
    <row r="30" spans="1:33" ht="15.75" hidden="1" thickBot="1" x14ac:dyDescent="0.3">
      <c r="A30" s="248"/>
      <c r="B30" s="191"/>
      <c r="C30" s="220" t="s">
        <v>135</v>
      </c>
      <c r="D30" s="289">
        <v>1</v>
      </c>
      <c r="E30" s="274">
        <v>0</v>
      </c>
      <c r="F30" s="214" t="s">
        <v>218</v>
      </c>
      <c r="G30" s="289">
        <v>0</v>
      </c>
      <c r="H30" s="214" t="s">
        <v>218</v>
      </c>
      <c r="I30" s="223">
        <v>1</v>
      </c>
      <c r="J30" s="223">
        <v>1</v>
      </c>
      <c r="K30" s="225">
        <v>0</v>
      </c>
      <c r="L30" s="191">
        <v>1</v>
      </c>
      <c r="M30" s="191">
        <v>1</v>
      </c>
      <c r="N30" s="191" t="s">
        <v>134</v>
      </c>
      <c r="O30" s="211" t="s">
        <v>212</v>
      </c>
      <c r="P30" s="191" t="s">
        <v>135</v>
      </c>
      <c r="Q30" s="222">
        <v>1</v>
      </c>
      <c r="R30" s="223">
        <v>1</v>
      </c>
      <c r="S30" s="225">
        <v>1</v>
      </c>
      <c r="T30" s="233" t="s">
        <v>218</v>
      </c>
      <c r="U30" s="230" t="s">
        <v>218</v>
      </c>
      <c r="V30" s="247">
        <v>1</v>
      </c>
      <c r="W30" s="246">
        <v>1</v>
      </c>
      <c r="X30" s="233" t="s">
        <v>218</v>
      </c>
      <c r="Y30" s="230" t="s">
        <v>218</v>
      </c>
      <c r="Z30" s="191">
        <v>0</v>
      </c>
      <c r="AA30" s="191" t="s">
        <v>134</v>
      </c>
      <c r="AB30" s="221" t="s">
        <v>130</v>
      </c>
      <c r="AC30" s="241"/>
      <c r="AD30" s="252"/>
      <c r="AE30" s="251"/>
      <c r="AG30" s="183" t="str">
        <f t="shared" si="0"/>
        <v xml:space="preserve">[1,0,x,0,x,1,1,0,1,1]-&gt;[1,1,1,x,x,1,1,x,x,0];   </v>
      </c>
    </row>
    <row r="31" spans="1:33" x14ac:dyDescent="0.25">
      <c r="A31" s="248"/>
      <c r="B31" s="191"/>
      <c r="C31" s="220" t="s">
        <v>135</v>
      </c>
      <c r="D31" s="289">
        <v>1</v>
      </c>
      <c r="E31" s="214" t="s">
        <v>218</v>
      </c>
      <c r="F31" s="214" t="s">
        <v>218</v>
      </c>
      <c r="G31" s="289">
        <v>0</v>
      </c>
      <c r="H31" s="214" t="s">
        <v>218</v>
      </c>
      <c r="I31" s="217">
        <v>1</v>
      </c>
      <c r="J31" s="217">
        <v>1</v>
      </c>
      <c r="K31" s="219">
        <v>1</v>
      </c>
      <c r="L31" s="191">
        <v>0</v>
      </c>
      <c r="M31" s="191">
        <v>0</v>
      </c>
      <c r="N31" s="191" t="s">
        <v>134</v>
      </c>
      <c r="O31" s="211" t="s">
        <v>212</v>
      </c>
      <c r="P31" s="191" t="s">
        <v>135</v>
      </c>
      <c r="Q31" s="253">
        <v>0</v>
      </c>
      <c r="R31" s="254">
        <v>1</v>
      </c>
      <c r="S31" s="255">
        <v>0</v>
      </c>
      <c r="T31" s="257">
        <v>1</v>
      </c>
      <c r="U31" s="259">
        <v>1</v>
      </c>
      <c r="V31" s="257">
        <v>0</v>
      </c>
      <c r="W31" s="258">
        <v>1</v>
      </c>
      <c r="X31" s="257">
        <v>0</v>
      </c>
      <c r="Y31" s="259">
        <v>0</v>
      </c>
      <c r="Z31" s="191">
        <v>0</v>
      </c>
      <c r="AA31" s="191" t="s">
        <v>134</v>
      </c>
      <c r="AB31" s="221" t="s">
        <v>130</v>
      </c>
      <c r="AC31" s="242" t="s">
        <v>216</v>
      </c>
      <c r="AD31" s="296" t="s">
        <v>214</v>
      </c>
      <c r="AE31" s="251" t="s">
        <v>168</v>
      </c>
      <c r="AG31" s="183" t="str">
        <f t="shared" si="0"/>
        <v>[1,x,x,0,x,1,1,1,0,0]-&gt;[0,1,0,1,1,0,1,0,0,0];   "High-Rom ProfDos</v>
      </c>
    </row>
    <row r="32" spans="1:33" x14ac:dyDescent="0.25">
      <c r="A32" s="248"/>
      <c r="B32" s="191"/>
      <c r="C32" s="220" t="s">
        <v>135</v>
      </c>
      <c r="D32" s="289">
        <v>1</v>
      </c>
      <c r="E32" s="214" t="s">
        <v>218</v>
      </c>
      <c r="F32" s="214" t="s">
        <v>218</v>
      </c>
      <c r="G32" s="289">
        <v>0</v>
      </c>
      <c r="H32" s="214" t="s">
        <v>218</v>
      </c>
      <c r="I32" s="191">
        <v>1</v>
      </c>
      <c r="J32" s="191">
        <v>1</v>
      </c>
      <c r="K32" s="221">
        <v>1</v>
      </c>
      <c r="L32" s="191">
        <v>0</v>
      </c>
      <c r="M32" s="191">
        <v>1</v>
      </c>
      <c r="N32" s="191" t="s">
        <v>134</v>
      </c>
      <c r="O32" s="211" t="s">
        <v>212</v>
      </c>
      <c r="P32" s="191" t="s">
        <v>135</v>
      </c>
      <c r="Q32" s="257">
        <v>0</v>
      </c>
      <c r="R32" s="258">
        <v>1</v>
      </c>
      <c r="S32" s="259">
        <v>0</v>
      </c>
      <c r="T32" s="257">
        <v>1</v>
      </c>
      <c r="U32" s="259">
        <v>1</v>
      </c>
      <c r="V32" s="257">
        <v>0</v>
      </c>
      <c r="W32" s="258">
        <v>1</v>
      </c>
      <c r="X32" s="257">
        <v>0</v>
      </c>
      <c r="Y32" s="259">
        <v>0</v>
      </c>
      <c r="Z32" s="191">
        <v>0</v>
      </c>
      <c r="AA32" s="191" t="s">
        <v>134</v>
      </c>
      <c r="AB32" s="221" t="s">
        <v>130</v>
      </c>
      <c r="AD32" s="286"/>
      <c r="AE32" s="251"/>
      <c r="AG32" s="183" t="str">
        <f t="shared" si="0"/>
        <v xml:space="preserve">[1,x,x,0,x,1,1,1,0,1]-&gt;[0,1,0,1,1,0,1,0,0,0];   </v>
      </c>
    </row>
    <row r="33" spans="1:33" x14ac:dyDescent="0.25">
      <c r="A33" s="248"/>
      <c r="B33" s="191"/>
      <c r="C33" s="220" t="s">
        <v>135</v>
      </c>
      <c r="D33" s="289">
        <v>1</v>
      </c>
      <c r="E33" s="214" t="s">
        <v>218</v>
      </c>
      <c r="F33" s="214" t="s">
        <v>218</v>
      </c>
      <c r="G33" s="289">
        <v>0</v>
      </c>
      <c r="H33" s="214" t="s">
        <v>218</v>
      </c>
      <c r="I33" s="191">
        <v>1</v>
      </c>
      <c r="J33" s="191">
        <v>1</v>
      </c>
      <c r="K33" s="221">
        <v>1</v>
      </c>
      <c r="L33" s="191">
        <v>1</v>
      </c>
      <c r="M33" s="191">
        <v>0</v>
      </c>
      <c r="N33" s="191" t="s">
        <v>134</v>
      </c>
      <c r="O33" s="211" t="s">
        <v>212</v>
      </c>
      <c r="P33" s="191" t="s">
        <v>135</v>
      </c>
      <c r="Q33" s="257">
        <v>0</v>
      </c>
      <c r="R33" s="258">
        <v>1</v>
      </c>
      <c r="S33" s="259">
        <v>0</v>
      </c>
      <c r="T33" s="257">
        <v>1</v>
      </c>
      <c r="U33" s="259">
        <v>1</v>
      </c>
      <c r="V33" s="257">
        <v>0</v>
      </c>
      <c r="W33" s="258">
        <v>1</v>
      </c>
      <c r="X33" s="257">
        <v>0</v>
      </c>
      <c r="Y33" s="259">
        <v>0</v>
      </c>
      <c r="Z33" s="191">
        <v>0</v>
      </c>
      <c r="AA33" s="191" t="s">
        <v>134</v>
      </c>
      <c r="AB33" s="221" t="s">
        <v>130</v>
      </c>
      <c r="AC33" s="241"/>
      <c r="AD33" s="286"/>
      <c r="AE33" s="251" t="s">
        <v>166</v>
      </c>
      <c r="AG33" s="183" t="str">
        <f t="shared" si="0"/>
        <v xml:space="preserve">[1,x,x,0,x,1,1,1,1,0]-&gt;[0,1,0,1,1,0,1,0,0,0];   </v>
      </c>
    </row>
    <row r="34" spans="1:33" ht="15.75" thickBot="1" x14ac:dyDescent="0.3">
      <c r="A34" s="248"/>
      <c r="B34" s="191"/>
      <c r="C34" s="222" t="s">
        <v>135</v>
      </c>
      <c r="D34" s="290">
        <v>1</v>
      </c>
      <c r="E34" s="229" t="s">
        <v>218</v>
      </c>
      <c r="F34" s="229" t="s">
        <v>218</v>
      </c>
      <c r="G34" s="290">
        <v>0</v>
      </c>
      <c r="H34" s="229" t="s">
        <v>218</v>
      </c>
      <c r="I34" s="223">
        <v>1</v>
      </c>
      <c r="J34" s="223">
        <v>1</v>
      </c>
      <c r="K34" s="225">
        <v>1</v>
      </c>
      <c r="L34" s="223">
        <v>1</v>
      </c>
      <c r="M34" s="223">
        <v>1</v>
      </c>
      <c r="N34" s="223" t="s">
        <v>134</v>
      </c>
      <c r="O34" s="224" t="s">
        <v>212</v>
      </c>
      <c r="P34" s="223" t="s">
        <v>135</v>
      </c>
      <c r="Q34" s="260">
        <v>0</v>
      </c>
      <c r="R34" s="261">
        <v>1</v>
      </c>
      <c r="S34" s="262">
        <v>0</v>
      </c>
      <c r="T34" s="260">
        <v>1</v>
      </c>
      <c r="U34" s="262">
        <v>1</v>
      </c>
      <c r="V34" s="260">
        <v>0</v>
      </c>
      <c r="W34" s="261">
        <v>1</v>
      </c>
      <c r="X34" s="260">
        <v>0</v>
      </c>
      <c r="Y34" s="262">
        <v>0</v>
      </c>
      <c r="Z34" s="223">
        <v>0</v>
      </c>
      <c r="AA34" s="223" t="s">
        <v>134</v>
      </c>
      <c r="AB34" s="225" t="s">
        <v>130</v>
      </c>
      <c r="AC34" s="241"/>
      <c r="AD34" s="264"/>
      <c r="AE34" s="252"/>
      <c r="AG34" s="183" t="str">
        <f t="shared" si="0"/>
        <v xml:space="preserve">[1,x,x,0,x,1,1,1,1,1]-&gt;[0,1,0,1,1,0,1,0,0,0];   </v>
      </c>
    </row>
    <row r="35" spans="1:33" ht="15.75" hidden="1" thickBot="1" x14ac:dyDescent="0.3">
      <c r="A35" s="248"/>
      <c r="B35" s="191"/>
      <c r="C35" s="220" t="s">
        <v>135</v>
      </c>
      <c r="D35" s="289">
        <v>1</v>
      </c>
      <c r="E35" s="214" t="s">
        <v>218</v>
      </c>
      <c r="F35" s="317">
        <v>0</v>
      </c>
      <c r="G35" s="295">
        <v>0</v>
      </c>
      <c r="H35" s="214" t="s">
        <v>218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 t="s">
        <v>134</v>
      </c>
      <c r="O35" s="211" t="s">
        <v>212</v>
      </c>
      <c r="P35" s="191" t="s">
        <v>135</v>
      </c>
      <c r="Q35" s="301">
        <v>0</v>
      </c>
      <c r="R35" s="302">
        <v>0</v>
      </c>
      <c r="S35" s="304">
        <v>0</v>
      </c>
      <c r="T35" s="233" t="s">
        <v>218</v>
      </c>
      <c r="U35" s="230" t="s">
        <v>218</v>
      </c>
      <c r="V35" s="222">
        <v>1</v>
      </c>
      <c r="W35" s="318">
        <v>1</v>
      </c>
      <c r="X35" s="232" t="s">
        <v>218</v>
      </c>
      <c r="Y35" s="270" t="s">
        <v>218</v>
      </c>
      <c r="Z35" s="191">
        <v>0</v>
      </c>
      <c r="AA35" s="191" t="s">
        <v>134</v>
      </c>
      <c r="AB35" s="221" t="s">
        <v>130</v>
      </c>
      <c r="AC35" s="243" t="s">
        <v>216</v>
      </c>
      <c r="AD35" s="256" t="s">
        <v>276</v>
      </c>
      <c r="AE35" s="241" t="s">
        <v>208</v>
      </c>
      <c r="AG35" s="183" t="str">
        <f t="shared" ref="AG35:AG67" si="1">C35&amp;D35&amp;","&amp;E35&amp;","&amp;F35&amp;","&amp;G35&amp;","&amp;H35&amp;","&amp;I35&amp;","&amp;J35&amp;","&amp;K35&amp;","&amp;L35&amp;","&amp;M35&amp;N35&amp;O35&amp;P35&amp;Q35&amp;","&amp;R35&amp;","&amp;S35&amp;","&amp;T35&amp;","&amp;U35&amp;","&amp;V35&amp;","&amp;W35&amp;","&amp;X35&amp;","&amp;Y35&amp;","&amp;Z35&amp;AA35&amp;AB35&amp;"   "&amp;AC35&amp;AD35</f>
        <v>[1,x,0,0,x,0,0,0,0,0]-&gt;[0,0,0,x,x,1,1,x,x,0];   "ProfDos ein, RAM org, LoRom alt</v>
      </c>
    </row>
    <row r="36" spans="1:33" ht="15.75" hidden="1" thickBot="1" x14ac:dyDescent="0.3">
      <c r="A36" s="248"/>
      <c r="B36" s="191"/>
      <c r="C36" s="220" t="s">
        <v>135</v>
      </c>
      <c r="D36" s="287" t="s">
        <v>218</v>
      </c>
      <c r="E36" s="214" t="s">
        <v>218</v>
      </c>
      <c r="F36" s="214" t="s">
        <v>218</v>
      </c>
      <c r="G36" s="214" t="s">
        <v>218</v>
      </c>
      <c r="H36" s="214" t="s">
        <v>218</v>
      </c>
      <c r="I36" s="191">
        <v>0</v>
      </c>
      <c r="J36" s="191">
        <v>0</v>
      </c>
      <c r="K36" s="191">
        <v>0</v>
      </c>
      <c r="L36" s="191">
        <v>0</v>
      </c>
      <c r="M36" s="191">
        <v>1</v>
      </c>
      <c r="N36" s="191" t="s">
        <v>134</v>
      </c>
      <c r="O36" s="211" t="s">
        <v>212</v>
      </c>
      <c r="P36" s="191" t="s">
        <v>135</v>
      </c>
      <c r="Q36" s="191">
        <v>0</v>
      </c>
      <c r="R36" s="191">
        <v>0</v>
      </c>
      <c r="S36" s="191">
        <v>1</v>
      </c>
      <c r="T36" s="233" t="s">
        <v>218</v>
      </c>
      <c r="U36" s="230" t="s">
        <v>218</v>
      </c>
      <c r="V36" s="191">
        <v>1</v>
      </c>
      <c r="W36" s="191">
        <v>1</v>
      </c>
      <c r="X36" s="233" t="s">
        <v>218</v>
      </c>
      <c r="Y36" s="230" t="s">
        <v>218</v>
      </c>
      <c r="Z36" s="191">
        <v>0</v>
      </c>
      <c r="AA36" s="191" t="s">
        <v>134</v>
      </c>
      <c r="AB36" s="221" t="s">
        <v>130</v>
      </c>
      <c r="AC36" s="242" t="s">
        <v>216</v>
      </c>
      <c r="AD36" s="191"/>
      <c r="AG36" s="183" t="str">
        <f t="shared" si="1"/>
        <v>[x,x,x,x,x,0,0,0,0,1]-&gt;[0,0,1,x,x,1,1,x,x,0];   "</v>
      </c>
    </row>
    <row r="37" spans="1:33" ht="15.75" hidden="1" thickBot="1" x14ac:dyDescent="0.3">
      <c r="A37" s="248"/>
      <c r="B37" s="191"/>
      <c r="C37" s="220" t="s">
        <v>135</v>
      </c>
      <c r="D37" s="287" t="s">
        <v>218</v>
      </c>
      <c r="E37" s="214" t="s">
        <v>218</v>
      </c>
      <c r="F37" s="214" t="s">
        <v>218</v>
      </c>
      <c r="G37" s="214" t="s">
        <v>218</v>
      </c>
      <c r="H37" s="214" t="s">
        <v>218</v>
      </c>
      <c r="I37" s="191">
        <v>0</v>
      </c>
      <c r="J37" s="191">
        <v>0</v>
      </c>
      <c r="K37" s="191">
        <v>0</v>
      </c>
      <c r="L37" s="191">
        <v>1</v>
      </c>
      <c r="M37" s="191">
        <v>0</v>
      </c>
      <c r="N37" s="191" t="s">
        <v>134</v>
      </c>
      <c r="O37" s="211" t="s">
        <v>212</v>
      </c>
      <c r="P37" s="191" t="s">
        <v>135</v>
      </c>
      <c r="Q37" s="191">
        <v>0</v>
      </c>
      <c r="R37" s="191">
        <v>1</v>
      </c>
      <c r="S37" s="191">
        <v>0</v>
      </c>
      <c r="T37" s="233" t="s">
        <v>218</v>
      </c>
      <c r="U37" s="230" t="s">
        <v>218</v>
      </c>
      <c r="V37" s="191">
        <v>1</v>
      </c>
      <c r="W37" s="191">
        <v>1</v>
      </c>
      <c r="X37" s="233" t="s">
        <v>218</v>
      </c>
      <c r="Y37" s="230" t="s">
        <v>218</v>
      </c>
      <c r="Z37" s="191">
        <v>0</v>
      </c>
      <c r="AA37" s="191" t="s">
        <v>134</v>
      </c>
      <c r="AB37" s="221" t="s">
        <v>130</v>
      </c>
      <c r="AC37" s="241"/>
      <c r="AE37" s="183" t="s">
        <v>206</v>
      </c>
      <c r="AG37" s="183" t="str">
        <f t="shared" si="1"/>
        <v xml:space="preserve">[x,x,x,x,x,0,0,0,1,0]-&gt;[0,1,0,x,x,1,1,x,x,0];   </v>
      </c>
    </row>
    <row r="38" spans="1:33" ht="15.75" hidden="1" thickBot="1" x14ac:dyDescent="0.3">
      <c r="A38" s="248"/>
      <c r="B38" s="191"/>
      <c r="C38" s="220" t="s">
        <v>135</v>
      </c>
      <c r="D38" s="287" t="s">
        <v>218</v>
      </c>
      <c r="E38" s="214" t="s">
        <v>218</v>
      </c>
      <c r="F38" s="214" t="s">
        <v>218</v>
      </c>
      <c r="G38" s="214" t="s">
        <v>218</v>
      </c>
      <c r="H38" s="214" t="s">
        <v>218</v>
      </c>
      <c r="I38" s="191">
        <v>0</v>
      </c>
      <c r="J38" s="191">
        <v>0</v>
      </c>
      <c r="K38" s="191">
        <v>0</v>
      </c>
      <c r="L38" s="191">
        <v>1</v>
      </c>
      <c r="M38" s="191">
        <v>1</v>
      </c>
      <c r="N38" s="191" t="s">
        <v>134</v>
      </c>
      <c r="O38" s="211" t="s">
        <v>212</v>
      </c>
      <c r="P38" s="191" t="s">
        <v>135</v>
      </c>
      <c r="Q38" s="191">
        <v>0</v>
      </c>
      <c r="R38" s="191">
        <v>1</v>
      </c>
      <c r="S38" s="191">
        <v>1</v>
      </c>
      <c r="T38" s="233" t="s">
        <v>218</v>
      </c>
      <c r="U38" s="230" t="s">
        <v>218</v>
      </c>
      <c r="V38" s="191">
        <v>1</v>
      </c>
      <c r="W38" s="191">
        <v>1</v>
      </c>
      <c r="X38" s="233" t="s">
        <v>218</v>
      </c>
      <c r="Y38" s="230" t="s">
        <v>218</v>
      </c>
      <c r="Z38" s="191">
        <v>0</v>
      </c>
      <c r="AA38" s="191" t="s">
        <v>134</v>
      </c>
      <c r="AB38" s="221" t="s">
        <v>130</v>
      </c>
      <c r="AC38" s="241"/>
      <c r="AG38" s="183" t="str">
        <f t="shared" si="1"/>
        <v xml:space="preserve">[x,x,x,x,x,0,0,0,1,1]-&gt;[0,1,1,x,x,1,1,x,x,0];   </v>
      </c>
    </row>
    <row r="39" spans="1:33" ht="15.75" hidden="1" thickBot="1" x14ac:dyDescent="0.3">
      <c r="A39" s="248"/>
      <c r="B39" s="191"/>
      <c r="C39" s="220" t="s">
        <v>135</v>
      </c>
      <c r="D39" s="287" t="s">
        <v>218</v>
      </c>
      <c r="E39" s="214" t="s">
        <v>218</v>
      </c>
      <c r="F39" s="214" t="s">
        <v>218</v>
      </c>
      <c r="G39" s="214" t="s">
        <v>218</v>
      </c>
      <c r="H39" s="214" t="s">
        <v>218</v>
      </c>
      <c r="I39" s="191">
        <v>0</v>
      </c>
      <c r="J39" s="191">
        <v>0</v>
      </c>
      <c r="K39" s="191">
        <v>1</v>
      </c>
      <c r="L39" s="191">
        <v>0</v>
      </c>
      <c r="M39" s="191">
        <v>0</v>
      </c>
      <c r="N39" s="191" t="s">
        <v>134</v>
      </c>
      <c r="O39" s="211" t="s">
        <v>212</v>
      </c>
      <c r="P39" s="191" t="s">
        <v>135</v>
      </c>
      <c r="Q39" s="191">
        <v>0</v>
      </c>
      <c r="R39" s="191">
        <v>0</v>
      </c>
      <c r="S39" s="191">
        <v>0</v>
      </c>
      <c r="T39" s="233" t="s">
        <v>218</v>
      </c>
      <c r="U39" s="230" t="s">
        <v>218</v>
      </c>
      <c r="V39" s="191">
        <v>1</v>
      </c>
      <c r="W39" s="191">
        <v>1</v>
      </c>
      <c r="X39" s="233" t="s">
        <v>218</v>
      </c>
      <c r="Y39" s="230" t="s">
        <v>218</v>
      </c>
      <c r="Z39" s="191">
        <v>0</v>
      </c>
      <c r="AA39" s="191" t="s">
        <v>134</v>
      </c>
      <c r="AB39" s="221" t="s">
        <v>130</v>
      </c>
      <c r="AC39" s="241"/>
      <c r="AE39" s="183" t="s">
        <v>201</v>
      </c>
      <c r="AG39" s="183" t="str">
        <f t="shared" si="1"/>
        <v xml:space="preserve">[x,x,x,x,x,0,0,1,0,0]-&gt;[0,0,0,x,x,1,1,x,x,0];   </v>
      </c>
    </row>
    <row r="40" spans="1:33" ht="15.75" hidden="1" thickBot="1" x14ac:dyDescent="0.3">
      <c r="A40" s="248"/>
      <c r="B40" s="191"/>
      <c r="C40" s="220" t="s">
        <v>135</v>
      </c>
      <c r="D40" s="287" t="s">
        <v>218</v>
      </c>
      <c r="E40" s="214" t="s">
        <v>218</v>
      </c>
      <c r="F40" s="214" t="s">
        <v>218</v>
      </c>
      <c r="G40" s="214" t="s">
        <v>218</v>
      </c>
      <c r="H40" s="214" t="s">
        <v>218</v>
      </c>
      <c r="I40" s="191">
        <v>0</v>
      </c>
      <c r="J40" s="191">
        <v>0</v>
      </c>
      <c r="K40" s="191">
        <v>1</v>
      </c>
      <c r="L40" s="191">
        <v>0</v>
      </c>
      <c r="M40" s="191">
        <v>1</v>
      </c>
      <c r="N40" s="191" t="s">
        <v>134</v>
      </c>
      <c r="O40" s="211" t="s">
        <v>212</v>
      </c>
      <c r="P40" s="191" t="s">
        <v>135</v>
      </c>
      <c r="Q40" s="191">
        <v>0</v>
      </c>
      <c r="R40" s="191">
        <v>0</v>
      </c>
      <c r="S40" s="191">
        <v>1</v>
      </c>
      <c r="T40" s="233" t="s">
        <v>218</v>
      </c>
      <c r="U40" s="230" t="s">
        <v>218</v>
      </c>
      <c r="V40" s="191">
        <v>1</v>
      </c>
      <c r="W40" s="191">
        <v>1</v>
      </c>
      <c r="X40" s="233" t="s">
        <v>218</v>
      </c>
      <c r="Y40" s="230" t="s">
        <v>218</v>
      </c>
      <c r="Z40" s="191">
        <v>0</v>
      </c>
      <c r="AA40" s="191" t="s">
        <v>134</v>
      </c>
      <c r="AB40" s="221" t="s">
        <v>130</v>
      </c>
      <c r="AC40" s="241"/>
      <c r="AG40" s="183" t="str">
        <f t="shared" si="1"/>
        <v xml:space="preserve">[x,x,x,x,x,0,0,1,0,1]-&gt;[0,0,1,x,x,1,1,x,x,0];   </v>
      </c>
    </row>
    <row r="41" spans="1:33" ht="15.75" hidden="1" thickBot="1" x14ac:dyDescent="0.3">
      <c r="A41" s="248"/>
      <c r="B41" s="191"/>
      <c r="C41" s="220" t="s">
        <v>135</v>
      </c>
      <c r="D41" s="287" t="s">
        <v>218</v>
      </c>
      <c r="E41" s="214" t="s">
        <v>218</v>
      </c>
      <c r="F41" s="214" t="s">
        <v>218</v>
      </c>
      <c r="G41" s="214" t="s">
        <v>218</v>
      </c>
      <c r="H41" s="214" t="s">
        <v>218</v>
      </c>
      <c r="I41" s="191">
        <v>0</v>
      </c>
      <c r="J41" s="191">
        <v>0</v>
      </c>
      <c r="K41" s="191">
        <v>1</v>
      </c>
      <c r="L41" s="191">
        <v>1</v>
      </c>
      <c r="M41" s="191">
        <v>0</v>
      </c>
      <c r="N41" s="191" t="s">
        <v>134</v>
      </c>
      <c r="O41" s="211" t="s">
        <v>212</v>
      </c>
      <c r="P41" s="191" t="s">
        <v>135</v>
      </c>
      <c r="Q41" s="191">
        <v>0</v>
      </c>
      <c r="R41" s="191">
        <v>1</v>
      </c>
      <c r="S41" s="191">
        <v>0</v>
      </c>
      <c r="T41" s="233" t="s">
        <v>218</v>
      </c>
      <c r="U41" s="230" t="s">
        <v>218</v>
      </c>
      <c r="V41" s="191">
        <v>1</v>
      </c>
      <c r="W41" s="191">
        <v>1</v>
      </c>
      <c r="X41" s="233" t="s">
        <v>218</v>
      </c>
      <c r="Y41" s="230" t="s">
        <v>218</v>
      </c>
      <c r="Z41" s="191">
        <v>0</v>
      </c>
      <c r="AA41" s="191" t="s">
        <v>134</v>
      </c>
      <c r="AB41" s="221" t="s">
        <v>130</v>
      </c>
      <c r="AC41" s="241"/>
      <c r="AE41" s="183" t="s">
        <v>199</v>
      </c>
      <c r="AG41" s="183" t="str">
        <f t="shared" si="1"/>
        <v xml:space="preserve">[x,x,x,x,x,0,0,1,1,0]-&gt;[0,1,0,x,x,1,1,x,x,0];   </v>
      </c>
    </row>
    <row r="42" spans="1:33" ht="15.75" hidden="1" thickBot="1" x14ac:dyDescent="0.3">
      <c r="A42" s="248"/>
      <c r="B42" s="191"/>
      <c r="C42" s="220" t="s">
        <v>135</v>
      </c>
      <c r="D42" s="287" t="s">
        <v>218</v>
      </c>
      <c r="E42" s="214" t="s">
        <v>218</v>
      </c>
      <c r="F42" s="214" t="s">
        <v>218</v>
      </c>
      <c r="G42" s="214" t="s">
        <v>218</v>
      </c>
      <c r="H42" s="214" t="s">
        <v>218</v>
      </c>
      <c r="I42" s="191">
        <v>0</v>
      </c>
      <c r="J42" s="191">
        <v>0</v>
      </c>
      <c r="K42" s="191">
        <v>1</v>
      </c>
      <c r="L42" s="191">
        <v>1</v>
      </c>
      <c r="M42" s="191">
        <v>1</v>
      </c>
      <c r="N42" s="191" t="s">
        <v>134</v>
      </c>
      <c r="O42" s="211" t="s">
        <v>212</v>
      </c>
      <c r="P42" s="191" t="s">
        <v>135</v>
      </c>
      <c r="Q42" s="191">
        <v>0</v>
      </c>
      <c r="R42" s="191">
        <v>1</v>
      </c>
      <c r="S42" s="191">
        <v>1</v>
      </c>
      <c r="T42" s="233" t="s">
        <v>218</v>
      </c>
      <c r="U42" s="230" t="s">
        <v>218</v>
      </c>
      <c r="V42" s="191">
        <v>1</v>
      </c>
      <c r="W42" s="191">
        <v>1</v>
      </c>
      <c r="X42" s="234" t="s">
        <v>218</v>
      </c>
      <c r="Y42" s="231" t="s">
        <v>218</v>
      </c>
      <c r="Z42" s="191">
        <v>0</v>
      </c>
      <c r="AA42" s="191" t="s">
        <v>134</v>
      </c>
      <c r="AB42" s="221" t="s">
        <v>130</v>
      </c>
      <c r="AC42" s="241"/>
      <c r="AG42" s="183" t="str">
        <f t="shared" si="1"/>
        <v xml:space="preserve">[x,x,x,x,x,0,0,1,1,1]-&gt;[0,1,1,x,x,1,1,x,x,0];   </v>
      </c>
    </row>
    <row r="43" spans="1:33" ht="15.75" hidden="1" thickBot="1" x14ac:dyDescent="0.3">
      <c r="A43" s="248"/>
      <c r="B43" s="191"/>
      <c r="C43" s="220" t="s">
        <v>135</v>
      </c>
      <c r="D43" s="288">
        <v>1</v>
      </c>
      <c r="E43" s="214" t="s">
        <v>218</v>
      </c>
      <c r="F43" s="214" t="s">
        <v>218</v>
      </c>
      <c r="G43" s="288">
        <v>0</v>
      </c>
      <c r="H43" s="214" t="s">
        <v>218</v>
      </c>
      <c r="I43" s="191">
        <v>0</v>
      </c>
      <c r="J43" s="191">
        <v>1</v>
      </c>
      <c r="K43" s="191">
        <v>0</v>
      </c>
      <c r="L43" s="191">
        <v>0</v>
      </c>
      <c r="M43" s="191">
        <v>0</v>
      </c>
      <c r="N43" s="191" t="s">
        <v>134</v>
      </c>
      <c r="O43" s="211" t="s">
        <v>212</v>
      </c>
      <c r="P43" s="191" t="s">
        <v>135</v>
      </c>
      <c r="Q43" s="258">
        <v>0</v>
      </c>
      <c r="R43" s="258">
        <v>1</v>
      </c>
      <c r="S43" s="258">
        <v>0</v>
      </c>
      <c r="T43" s="233" t="s">
        <v>218</v>
      </c>
      <c r="U43" s="230" t="s">
        <v>218</v>
      </c>
      <c r="V43" s="291">
        <v>1</v>
      </c>
      <c r="W43" s="299">
        <v>0</v>
      </c>
      <c r="X43" s="257">
        <v>0</v>
      </c>
      <c r="Y43" s="259">
        <v>0</v>
      </c>
      <c r="Z43" s="258">
        <v>0</v>
      </c>
      <c r="AA43" s="258" t="s">
        <v>134</v>
      </c>
      <c r="AB43" s="259" t="s">
        <v>130</v>
      </c>
      <c r="AC43" s="241" t="s">
        <v>216</v>
      </c>
      <c r="AD43" s="267" t="s">
        <v>226</v>
      </c>
      <c r="AE43" s="56" t="s">
        <v>196</v>
      </c>
      <c r="AG43" s="183" t="str">
        <f t="shared" si="1"/>
        <v>[1,x,x,0,x,0,1,0,0,0]-&gt;[0,1,0,x,x,1,0,0,0,0];   "ProfDos RAM</v>
      </c>
    </row>
    <row r="44" spans="1:33" ht="15.75" hidden="1" thickBot="1" x14ac:dyDescent="0.3">
      <c r="A44" s="248"/>
      <c r="B44" s="191"/>
      <c r="C44" s="220" t="s">
        <v>135</v>
      </c>
      <c r="D44" s="289">
        <v>1</v>
      </c>
      <c r="E44" s="214" t="s">
        <v>218</v>
      </c>
      <c r="F44" s="214" t="s">
        <v>218</v>
      </c>
      <c r="G44" s="289">
        <v>0</v>
      </c>
      <c r="H44" s="214" t="s">
        <v>218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 t="s">
        <v>134</v>
      </c>
      <c r="O44" s="211" t="s">
        <v>212</v>
      </c>
      <c r="P44" s="191" t="s">
        <v>135</v>
      </c>
      <c r="Q44" s="258">
        <v>0</v>
      </c>
      <c r="R44" s="258">
        <v>1</v>
      </c>
      <c r="S44" s="258">
        <v>0</v>
      </c>
      <c r="T44" s="233" t="s">
        <v>218</v>
      </c>
      <c r="U44" s="230" t="s">
        <v>218</v>
      </c>
      <c r="V44" s="292">
        <v>1</v>
      </c>
      <c r="W44" s="297">
        <v>0</v>
      </c>
      <c r="X44" s="257">
        <v>0</v>
      </c>
      <c r="Y44" s="259">
        <v>0</v>
      </c>
      <c r="Z44" s="258">
        <v>0</v>
      </c>
      <c r="AA44" s="258" t="s">
        <v>134</v>
      </c>
      <c r="AB44" s="259" t="s">
        <v>130</v>
      </c>
      <c r="AC44" s="241"/>
      <c r="AD44" s="265"/>
      <c r="AE44" s="194"/>
      <c r="AG44" s="183" t="str">
        <f t="shared" si="1"/>
        <v xml:space="preserve">[1,x,x,0,x,0,1,0,0,1]-&gt;[0,1,0,x,x,1,0,0,0,0];   </v>
      </c>
    </row>
    <row r="45" spans="1:33" ht="15.75" hidden="1" thickBot="1" x14ac:dyDescent="0.3">
      <c r="A45" s="248"/>
      <c r="B45" s="191"/>
      <c r="C45" s="220" t="s">
        <v>135</v>
      </c>
      <c r="D45" s="289">
        <v>1</v>
      </c>
      <c r="E45" s="214" t="s">
        <v>218</v>
      </c>
      <c r="F45" s="214" t="s">
        <v>218</v>
      </c>
      <c r="G45" s="289">
        <v>0</v>
      </c>
      <c r="H45" s="214" t="s">
        <v>218</v>
      </c>
      <c r="I45" s="191">
        <v>0</v>
      </c>
      <c r="J45" s="191">
        <v>1</v>
      </c>
      <c r="K45" s="191">
        <v>0</v>
      </c>
      <c r="L45" s="191">
        <v>1</v>
      </c>
      <c r="M45" s="191">
        <v>0</v>
      </c>
      <c r="N45" s="191" t="s">
        <v>134</v>
      </c>
      <c r="O45" s="211" t="s">
        <v>212</v>
      </c>
      <c r="P45" s="191" t="s">
        <v>135</v>
      </c>
      <c r="Q45" s="258">
        <v>0</v>
      </c>
      <c r="R45" s="258">
        <v>1</v>
      </c>
      <c r="S45" s="258">
        <v>0</v>
      </c>
      <c r="T45" s="233" t="s">
        <v>218</v>
      </c>
      <c r="U45" s="230" t="s">
        <v>218</v>
      </c>
      <c r="V45" s="292">
        <v>1</v>
      </c>
      <c r="W45" s="297">
        <v>0</v>
      </c>
      <c r="X45" s="257">
        <v>0</v>
      </c>
      <c r="Y45" s="259">
        <v>0</v>
      </c>
      <c r="Z45" s="258">
        <v>0</v>
      </c>
      <c r="AA45" s="258" t="s">
        <v>134</v>
      </c>
      <c r="AB45" s="259" t="s">
        <v>130</v>
      </c>
      <c r="AC45" s="241"/>
      <c r="AD45" s="265"/>
      <c r="AE45" s="194" t="s">
        <v>194</v>
      </c>
      <c r="AG45" s="183" t="str">
        <f t="shared" si="1"/>
        <v xml:space="preserve">[1,x,x,0,x,0,1,0,1,0]-&gt;[0,1,0,x,x,1,0,0,0,0];   </v>
      </c>
    </row>
    <row r="46" spans="1:33" ht="15.75" hidden="1" thickBot="1" x14ac:dyDescent="0.3">
      <c r="A46" s="248"/>
      <c r="B46" s="191"/>
      <c r="C46" s="220" t="s">
        <v>135</v>
      </c>
      <c r="D46" s="289">
        <v>1</v>
      </c>
      <c r="E46" s="214" t="s">
        <v>218</v>
      </c>
      <c r="F46" s="214" t="s">
        <v>218</v>
      </c>
      <c r="G46" s="289">
        <v>0</v>
      </c>
      <c r="H46" s="214" t="s">
        <v>218</v>
      </c>
      <c r="I46" s="191">
        <v>0</v>
      </c>
      <c r="J46" s="191">
        <v>1</v>
      </c>
      <c r="K46" s="191">
        <v>0</v>
      </c>
      <c r="L46" s="191">
        <v>1</v>
      </c>
      <c r="M46" s="191">
        <v>1</v>
      </c>
      <c r="N46" s="191" t="s">
        <v>134</v>
      </c>
      <c r="O46" s="211" t="s">
        <v>212</v>
      </c>
      <c r="P46" s="191" t="s">
        <v>135</v>
      </c>
      <c r="Q46" s="258">
        <v>0</v>
      </c>
      <c r="R46" s="258">
        <v>1</v>
      </c>
      <c r="S46" s="258">
        <v>0</v>
      </c>
      <c r="T46" s="233" t="s">
        <v>218</v>
      </c>
      <c r="U46" s="230" t="s">
        <v>218</v>
      </c>
      <c r="V46" s="293">
        <v>1</v>
      </c>
      <c r="W46" s="298">
        <v>0</v>
      </c>
      <c r="X46" s="257">
        <v>0</v>
      </c>
      <c r="Y46" s="259">
        <v>0</v>
      </c>
      <c r="Z46" s="258">
        <v>0</v>
      </c>
      <c r="AA46" s="258" t="s">
        <v>134</v>
      </c>
      <c r="AB46" s="259" t="s">
        <v>130</v>
      </c>
      <c r="AC46" s="241"/>
      <c r="AD46" s="266"/>
      <c r="AE46" s="194"/>
      <c r="AG46" s="183" t="str">
        <f t="shared" si="1"/>
        <v xml:space="preserve">[1,x,x,0,x,0,1,0,1,1]-&gt;[0,1,0,x,x,1,0,0,0,0];   </v>
      </c>
    </row>
    <row r="47" spans="1:33" x14ac:dyDescent="0.25">
      <c r="A47" s="248"/>
      <c r="B47" s="191"/>
      <c r="C47" s="220" t="s">
        <v>135</v>
      </c>
      <c r="D47" s="289">
        <v>1</v>
      </c>
      <c r="E47" s="214" t="s">
        <v>218</v>
      </c>
      <c r="F47" s="214" t="s">
        <v>218</v>
      </c>
      <c r="G47" s="289">
        <v>0</v>
      </c>
      <c r="H47" s="214" t="s">
        <v>218</v>
      </c>
      <c r="I47" s="216">
        <v>0</v>
      </c>
      <c r="J47" s="217">
        <v>1</v>
      </c>
      <c r="K47" s="217">
        <v>1</v>
      </c>
      <c r="L47" s="217">
        <v>0</v>
      </c>
      <c r="M47" s="217">
        <v>0</v>
      </c>
      <c r="N47" s="217" t="s">
        <v>134</v>
      </c>
      <c r="O47" s="218" t="s">
        <v>212</v>
      </c>
      <c r="P47" s="217" t="s">
        <v>135</v>
      </c>
      <c r="Q47" s="254">
        <v>0</v>
      </c>
      <c r="R47" s="254">
        <v>1</v>
      </c>
      <c r="S47" s="254">
        <v>0</v>
      </c>
      <c r="T47" s="254">
        <v>1</v>
      </c>
      <c r="U47" s="254">
        <v>0</v>
      </c>
      <c r="V47" s="299">
        <v>0</v>
      </c>
      <c r="W47" s="291">
        <v>1</v>
      </c>
      <c r="X47" s="253">
        <v>0</v>
      </c>
      <c r="Y47" s="255">
        <v>0</v>
      </c>
      <c r="Z47" s="255">
        <v>0</v>
      </c>
      <c r="AA47" s="258" t="s">
        <v>134</v>
      </c>
      <c r="AB47" s="259" t="s">
        <v>130</v>
      </c>
      <c r="AC47" s="241" t="s">
        <v>216</v>
      </c>
      <c r="AD47" s="263" t="s">
        <v>174</v>
      </c>
      <c r="AE47" s="248" t="s">
        <v>191</v>
      </c>
      <c r="AG47" s="183" t="str">
        <f t="shared" si="1"/>
        <v>[1,x,x,0,x,0,1,1,0,0]-&gt;[0,1,0,1,0,0,1,0,0,0];   "DOS-Extension</v>
      </c>
    </row>
    <row r="48" spans="1:33" ht="15.75" thickBot="1" x14ac:dyDescent="0.3">
      <c r="A48" s="248"/>
      <c r="B48" s="191"/>
      <c r="C48" s="220" t="s">
        <v>135</v>
      </c>
      <c r="D48" s="289">
        <v>1</v>
      </c>
      <c r="E48" s="214" t="s">
        <v>218</v>
      </c>
      <c r="F48" s="214" t="s">
        <v>218</v>
      </c>
      <c r="G48" s="289">
        <v>0</v>
      </c>
      <c r="H48" s="214" t="s">
        <v>218</v>
      </c>
      <c r="I48" s="220">
        <v>0</v>
      </c>
      <c r="J48" s="191">
        <v>1</v>
      </c>
      <c r="K48" s="191">
        <v>1</v>
      </c>
      <c r="L48" s="191">
        <v>0</v>
      </c>
      <c r="M48" s="191">
        <v>1</v>
      </c>
      <c r="N48" s="191" t="s">
        <v>134</v>
      </c>
      <c r="O48" s="211" t="s">
        <v>212</v>
      </c>
      <c r="P48" s="191" t="s">
        <v>135</v>
      </c>
      <c r="Q48" s="258">
        <v>0</v>
      </c>
      <c r="R48" s="258">
        <v>1</v>
      </c>
      <c r="S48" s="258">
        <v>0</v>
      </c>
      <c r="T48" s="258">
        <v>1</v>
      </c>
      <c r="U48" s="258">
        <v>0</v>
      </c>
      <c r="V48" s="297">
        <v>0</v>
      </c>
      <c r="W48" s="292">
        <v>1</v>
      </c>
      <c r="X48" s="257">
        <v>0</v>
      </c>
      <c r="Y48" s="259">
        <v>0</v>
      </c>
      <c r="Z48" s="259">
        <v>1</v>
      </c>
      <c r="AA48" s="258" t="s">
        <v>134</v>
      </c>
      <c r="AB48" s="259" t="s">
        <v>130</v>
      </c>
      <c r="AC48" s="241"/>
      <c r="AD48" s="264"/>
      <c r="AE48" s="248"/>
      <c r="AG48" s="183" t="str">
        <f t="shared" si="1"/>
        <v xml:space="preserve">[1,x,x,0,x,0,1,1,0,1]-&gt;[0,1,0,1,0,0,1,0,0,1];   </v>
      </c>
    </row>
    <row r="49" spans="1:33" x14ac:dyDescent="0.25">
      <c r="A49" s="248"/>
      <c r="B49" s="191"/>
      <c r="C49" s="220" t="s">
        <v>135</v>
      </c>
      <c r="D49" s="289">
        <v>1</v>
      </c>
      <c r="E49" s="214" t="s">
        <v>218</v>
      </c>
      <c r="F49" s="214" t="s">
        <v>218</v>
      </c>
      <c r="G49" s="289">
        <v>0</v>
      </c>
      <c r="H49" s="214" t="s">
        <v>218</v>
      </c>
      <c r="I49" s="220">
        <v>0</v>
      </c>
      <c r="J49" s="191">
        <v>1</v>
      </c>
      <c r="K49" s="191">
        <v>1</v>
      </c>
      <c r="L49" s="191">
        <v>1</v>
      </c>
      <c r="M49" s="191">
        <v>0</v>
      </c>
      <c r="N49" s="191" t="s">
        <v>134</v>
      </c>
      <c r="O49" s="211" t="s">
        <v>212</v>
      </c>
      <c r="P49" s="191" t="s">
        <v>135</v>
      </c>
      <c r="Q49" s="258">
        <v>0</v>
      </c>
      <c r="R49" s="258">
        <v>1</v>
      </c>
      <c r="S49" s="258">
        <v>0</v>
      </c>
      <c r="T49" s="258">
        <v>1</v>
      </c>
      <c r="U49" s="258">
        <v>0</v>
      </c>
      <c r="V49" s="297">
        <v>0</v>
      </c>
      <c r="W49" s="292">
        <v>1</v>
      </c>
      <c r="X49" s="257">
        <v>1</v>
      </c>
      <c r="Y49" s="259">
        <v>0</v>
      </c>
      <c r="Z49" s="259">
        <v>0</v>
      </c>
      <c r="AA49" s="258" t="s">
        <v>134</v>
      </c>
      <c r="AB49" s="259" t="s">
        <v>130</v>
      </c>
      <c r="AC49" s="241" t="s">
        <v>216</v>
      </c>
      <c r="AD49" s="263" t="s">
        <v>173</v>
      </c>
      <c r="AE49" s="248" t="s">
        <v>188</v>
      </c>
      <c r="AG49" s="183" t="str">
        <f t="shared" si="1"/>
        <v>[1,x,x,0,x,0,1,1,1,0]-&gt;[0,1,0,1,0,0,1,1,0,0];   "GCR</v>
      </c>
    </row>
    <row r="50" spans="1:33" ht="15.75" thickBot="1" x14ac:dyDescent="0.3">
      <c r="A50" s="248"/>
      <c r="B50" s="191"/>
      <c r="C50" s="220" t="s">
        <v>135</v>
      </c>
      <c r="D50" s="289">
        <v>1</v>
      </c>
      <c r="E50" s="214" t="s">
        <v>218</v>
      </c>
      <c r="F50" s="214" t="s">
        <v>218</v>
      </c>
      <c r="G50" s="290">
        <v>0</v>
      </c>
      <c r="H50" s="214" t="s">
        <v>218</v>
      </c>
      <c r="I50" s="222">
        <v>0</v>
      </c>
      <c r="J50" s="223">
        <v>1</v>
      </c>
      <c r="K50" s="223">
        <v>1</v>
      </c>
      <c r="L50" s="223">
        <v>1</v>
      </c>
      <c r="M50" s="223">
        <v>1</v>
      </c>
      <c r="N50" s="223" t="s">
        <v>134</v>
      </c>
      <c r="O50" s="224" t="s">
        <v>212</v>
      </c>
      <c r="P50" s="223" t="s">
        <v>135</v>
      </c>
      <c r="Q50" s="261">
        <v>0</v>
      </c>
      <c r="R50" s="261">
        <v>1</v>
      </c>
      <c r="S50" s="261">
        <v>0</v>
      </c>
      <c r="T50" s="261">
        <v>1</v>
      </c>
      <c r="U50" s="261">
        <v>0</v>
      </c>
      <c r="V50" s="298">
        <v>0</v>
      </c>
      <c r="W50" s="293">
        <v>1</v>
      </c>
      <c r="X50" s="260">
        <v>1</v>
      </c>
      <c r="Y50" s="262">
        <v>1</v>
      </c>
      <c r="Z50" s="262">
        <v>0</v>
      </c>
      <c r="AA50" s="258" t="s">
        <v>134</v>
      </c>
      <c r="AB50" s="259" t="s">
        <v>130</v>
      </c>
      <c r="AC50" s="241"/>
      <c r="AD50" s="264"/>
      <c r="AE50" s="248"/>
      <c r="AG50" s="183" t="str">
        <f t="shared" si="1"/>
        <v xml:space="preserve">[1,x,x,0,x,0,1,1,1,1]-&gt;[0,1,0,1,0,0,1,1,1,0];   </v>
      </c>
    </row>
    <row r="51" spans="1:33" ht="15.75" hidden="1" thickBot="1" x14ac:dyDescent="0.3">
      <c r="A51" s="248"/>
      <c r="B51" s="191"/>
      <c r="C51" s="220" t="s">
        <v>135</v>
      </c>
      <c r="D51" s="289">
        <v>1</v>
      </c>
      <c r="E51" s="214" t="s">
        <v>218</v>
      </c>
      <c r="F51" s="214" t="s">
        <v>218</v>
      </c>
      <c r="G51" s="214" t="s">
        <v>218</v>
      </c>
      <c r="H51" s="214" t="s">
        <v>218</v>
      </c>
      <c r="I51" s="191">
        <v>1</v>
      </c>
      <c r="J51" s="191">
        <v>0</v>
      </c>
      <c r="K51" s="191">
        <v>0</v>
      </c>
      <c r="L51" s="191">
        <v>0</v>
      </c>
      <c r="M51" s="191">
        <v>0</v>
      </c>
      <c r="N51" s="191" t="s">
        <v>134</v>
      </c>
      <c r="O51" s="211" t="s">
        <v>212</v>
      </c>
      <c r="P51" s="191" t="s">
        <v>135</v>
      </c>
      <c r="Q51" s="191">
        <v>1</v>
      </c>
      <c r="R51" s="191">
        <v>0</v>
      </c>
      <c r="S51" s="191">
        <v>0</v>
      </c>
      <c r="T51" s="233" t="s">
        <v>218</v>
      </c>
      <c r="U51" s="230" t="s">
        <v>218</v>
      </c>
      <c r="V51" s="191">
        <v>1</v>
      </c>
      <c r="W51" s="191">
        <v>1</v>
      </c>
      <c r="X51" s="232" t="s">
        <v>218</v>
      </c>
      <c r="Y51" s="270" t="s">
        <v>218</v>
      </c>
      <c r="Z51" s="191">
        <v>0</v>
      </c>
      <c r="AA51" s="191" t="s">
        <v>134</v>
      </c>
      <c r="AB51" s="221" t="s">
        <v>130</v>
      </c>
      <c r="AC51" s="241"/>
      <c r="AE51" s="250" t="s">
        <v>183</v>
      </c>
      <c r="AG51" s="183" t="str">
        <f t="shared" si="1"/>
        <v xml:space="preserve">[1,x,x,x,x,1,0,0,0,0]-&gt;[1,0,0,x,x,1,1,x,x,0];   </v>
      </c>
    </row>
    <row r="52" spans="1:33" ht="15.75" hidden="1" thickBot="1" x14ac:dyDescent="0.3">
      <c r="A52" s="248"/>
      <c r="B52" s="191"/>
      <c r="C52" s="220" t="s">
        <v>135</v>
      </c>
      <c r="D52" s="289">
        <v>1</v>
      </c>
      <c r="E52" s="214" t="s">
        <v>218</v>
      </c>
      <c r="F52" s="214" t="s">
        <v>218</v>
      </c>
      <c r="G52" s="214" t="s">
        <v>218</v>
      </c>
      <c r="H52" s="214" t="s">
        <v>218</v>
      </c>
      <c r="I52" s="191">
        <v>1</v>
      </c>
      <c r="J52" s="191">
        <v>0</v>
      </c>
      <c r="K52" s="191">
        <v>0</v>
      </c>
      <c r="L52" s="191">
        <v>0</v>
      </c>
      <c r="M52" s="191">
        <v>1</v>
      </c>
      <c r="N52" s="191" t="s">
        <v>134</v>
      </c>
      <c r="O52" s="211" t="s">
        <v>212</v>
      </c>
      <c r="P52" s="191" t="s">
        <v>135</v>
      </c>
      <c r="Q52" s="191">
        <v>1</v>
      </c>
      <c r="R52" s="191">
        <v>0</v>
      </c>
      <c r="S52" s="191">
        <v>1</v>
      </c>
      <c r="T52" s="233" t="s">
        <v>218</v>
      </c>
      <c r="U52" s="230" t="s">
        <v>218</v>
      </c>
      <c r="V52" s="191">
        <v>1</v>
      </c>
      <c r="W52" s="191">
        <v>1</v>
      </c>
      <c r="X52" s="233" t="s">
        <v>218</v>
      </c>
      <c r="Y52" s="230" t="s">
        <v>218</v>
      </c>
      <c r="Z52" s="191">
        <v>0</v>
      </c>
      <c r="AA52" s="191" t="s">
        <v>134</v>
      </c>
      <c r="AB52" s="221" t="s">
        <v>130</v>
      </c>
      <c r="AC52" s="241"/>
      <c r="AE52" s="251"/>
      <c r="AG52" s="183" t="str">
        <f t="shared" si="1"/>
        <v xml:space="preserve">[1,x,x,x,x,1,0,0,0,1]-&gt;[1,0,1,x,x,1,1,x,x,0];   </v>
      </c>
    </row>
    <row r="53" spans="1:33" ht="15.75" hidden="1" thickBot="1" x14ac:dyDescent="0.3">
      <c r="A53" s="248"/>
      <c r="B53" s="191"/>
      <c r="C53" s="220" t="s">
        <v>135</v>
      </c>
      <c r="D53" s="289">
        <v>1</v>
      </c>
      <c r="E53" s="214" t="s">
        <v>218</v>
      </c>
      <c r="F53" s="214" t="s">
        <v>218</v>
      </c>
      <c r="G53" s="214" t="s">
        <v>218</v>
      </c>
      <c r="H53" s="214" t="s">
        <v>218</v>
      </c>
      <c r="I53" s="191">
        <v>1</v>
      </c>
      <c r="J53" s="191">
        <v>0</v>
      </c>
      <c r="K53" s="191">
        <v>0</v>
      </c>
      <c r="L53" s="191">
        <v>1</v>
      </c>
      <c r="M53" s="191">
        <v>0</v>
      </c>
      <c r="N53" s="191" t="s">
        <v>134</v>
      </c>
      <c r="O53" s="211" t="s">
        <v>212</v>
      </c>
      <c r="P53" s="191" t="s">
        <v>135</v>
      </c>
      <c r="Q53" s="191">
        <v>1</v>
      </c>
      <c r="R53" s="191">
        <v>1</v>
      </c>
      <c r="S53" s="191">
        <v>0</v>
      </c>
      <c r="T53" s="233" t="s">
        <v>218</v>
      </c>
      <c r="U53" s="230" t="s">
        <v>218</v>
      </c>
      <c r="V53" s="191">
        <v>1</v>
      </c>
      <c r="W53" s="191">
        <v>1</v>
      </c>
      <c r="X53" s="233" t="s">
        <v>218</v>
      </c>
      <c r="Y53" s="230" t="s">
        <v>218</v>
      </c>
      <c r="Z53" s="191">
        <v>0</v>
      </c>
      <c r="AA53" s="191" t="s">
        <v>134</v>
      </c>
      <c r="AB53" s="221" t="s">
        <v>130</v>
      </c>
      <c r="AC53" s="241"/>
      <c r="AE53" s="251" t="s">
        <v>181</v>
      </c>
      <c r="AG53" s="183" t="str">
        <f t="shared" si="1"/>
        <v xml:space="preserve">[1,x,x,x,x,1,0,0,1,0]-&gt;[1,1,0,x,x,1,1,x,x,0];   </v>
      </c>
    </row>
    <row r="54" spans="1:33" ht="15.75" hidden="1" thickBot="1" x14ac:dyDescent="0.3">
      <c r="A54" s="248"/>
      <c r="B54" s="191"/>
      <c r="C54" s="220" t="s">
        <v>135</v>
      </c>
      <c r="D54" s="289">
        <v>1</v>
      </c>
      <c r="E54" s="214" t="s">
        <v>218</v>
      </c>
      <c r="F54" s="214" t="s">
        <v>218</v>
      </c>
      <c r="G54" s="214" t="s">
        <v>218</v>
      </c>
      <c r="H54" s="214" t="s">
        <v>218</v>
      </c>
      <c r="I54" s="191">
        <v>1</v>
      </c>
      <c r="J54" s="191">
        <v>0</v>
      </c>
      <c r="K54" s="191">
        <v>0</v>
      </c>
      <c r="L54" s="191">
        <v>1</v>
      </c>
      <c r="M54" s="191">
        <v>1</v>
      </c>
      <c r="N54" s="191" t="s">
        <v>134</v>
      </c>
      <c r="O54" s="211" t="s">
        <v>212</v>
      </c>
      <c r="P54" s="191" t="s">
        <v>135</v>
      </c>
      <c r="Q54" s="191">
        <v>1</v>
      </c>
      <c r="R54" s="191">
        <v>1</v>
      </c>
      <c r="S54" s="191">
        <v>1</v>
      </c>
      <c r="T54" s="233" t="s">
        <v>218</v>
      </c>
      <c r="U54" s="230" t="s">
        <v>218</v>
      </c>
      <c r="V54" s="191">
        <v>1</v>
      </c>
      <c r="W54" s="191">
        <v>1</v>
      </c>
      <c r="X54" s="233" t="s">
        <v>218</v>
      </c>
      <c r="Y54" s="230" t="s">
        <v>218</v>
      </c>
      <c r="Z54" s="191">
        <v>0</v>
      </c>
      <c r="AA54" s="191" t="s">
        <v>134</v>
      </c>
      <c r="AB54" s="221" t="s">
        <v>130</v>
      </c>
      <c r="AC54" s="241"/>
      <c r="AE54" s="251"/>
      <c r="AG54" s="183" t="str">
        <f t="shared" si="1"/>
        <v xml:space="preserve">[1,x,x,x,x,1,0,0,1,1]-&gt;[1,1,1,x,x,1,1,x,x,0];   </v>
      </c>
    </row>
    <row r="55" spans="1:33" ht="15.75" hidden="1" thickBot="1" x14ac:dyDescent="0.3">
      <c r="A55" s="248"/>
      <c r="B55" s="191"/>
      <c r="C55" s="220" t="s">
        <v>135</v>
      </c>
      <c r="D55" s="289">
        <v>1</v>
      </c>
      <c r="E55" s="214" t="s">
        <v>218</v>
      </c>
      <c r="F55" s="214" t="s">
        <v>218</v>
      </c>
      <c r="G55" s="214" t="s">
        <v>218</v>
      </c>
      <c r="H55" s="214" t="s">
        <v>218</v>
      </c>
      <c r="I55" s="191">
        <v>1</v>
      </c>
      <c r="J55" s="191">
        <v>0</v>
      </c>
      <c r="K55" s="191">
        <v>1</v>
      </c>
      <c r="L55" s="191">
        <v>0</v>
      </c>
      <c r="M55" s="191">
        <v>0</v>
      </c>
      <c r="N55" s="191" t="s">
        <v>134</v>
      </c>
      <c r="O55" s="211" t="s">
        <v>212</v>
      </c>
      <c r="P55" s="191" t="s">
        <v>135</v>
      </c>
      <c r="Q55" s="191">
        <v>0</v>
      </c>
      <c r="R55" s="191">
        <v>1</v>
      </c>
      <c r="S55" s="191">
        <v>0</v>
      </c>
      <c r="T55" s="233" t="s">
        <v>218</v>
      </c>
      <c r="U55" s="230" t="s">
        <v>218</v>
      </c>
      <c r="V55" s="191">
        <v>1</v>
      </c>
      <c r="W55" s="191">
        <v>1</v>
      </c>
      <c r="X55" s="233" t="s">
        <v>218</v>
      </c>
      <c r="Y55" s="230" t="s">
        <v>218</v>
      </c>
      <c r="Z55" s="191">
        <v>0</v>
      </c>
      <c r="AA55" s="191" t="s">
        <v>134</v>
      </c>
      <c r="AB55" s="221" t="s">
        <v>130</v>
      </c>
      <c r="AC55" s="241"/>
      <c r="AE55" s="251" t="s">
        <v>178</v>
      </c>
      <c r="AG55" s="183" t="str">
        <f t="shared" si="1"/>
        <v xml:space="preserve">[1,x,x,x,x,1,0,1,0,0]-&gt;[0,1,0,x,x,1,1,x,x,0];   </v>
      </c>
    </row>
    <row r="56" spans="1:33" ht="15.75" hidden="1" thickBot="1" x14ac:dyDescent="0.3">
      <c r="A56" s="248"/>
      <c r="B56" s="191"/>
      <c r="C56" s="220" t="s">
        <v>135</v>
      </c>
      <c r="D56" s="289">
        <v>1</v>
      </c>
      <c r="E56" s="214" t="s">
        <v>218</v>
      </c>
      <c r="F56" s="214" t="s">
        <v>218</v>
      </c>
      <c r="G56" s="214" t="s">
        <v>218</v>
      </c>
      <c r="H56" s="214" t="s">
        <v>218</v>
      </c>
      <c r="I56" s="191">
        <v>1</v>
      </c>
      <c r="J56" s="191">
        <v>0</v>
      </c>
      <c r="K56" s="191">
        <v>1</v>
      </c>
      <c r="L56" s="191">
        <v>0</v>
      </c>
      <c r="M56" s="191">
        <v>1</v>
      </c>
      <c r="N56" s="191" t="s">
        <v>134</v>
      </c>
      <c r="O56" s="211" t="s">
        <v>212</v>
      </c>
      <c r="P56" s="191" t="s">
        <v>135</v>
      </c>
      <c r="Q56" s="191">
        <v>0</v>
      </c>
      <c r="R56" s="191">
        <v>0</v>
      </c>
      <c r="S56" s="191">
        <v>1</v>
      </c>
      <c r="T56" s="233" t="s">
        <v>218</v>
      </c>
      <c r="U56" s="230" t="s">
        <v>218</v>
      </c>
      <c r="V56" s="191">
        <v>1</v>
      </c>
      <c r="W56" s="191">
        <v>1</v>
      </c>
      <c r="X56" s="233" t="s">
        <v>218</v>
      </c>
      <c r="Y56" s="230" t="s">
        <v>218</v>
      </c>
      <c r="Z56" s="191">
        <v>0</v>
      </c>
      <c r="AA56" s="191" t="s">
        <v>134</v>
      </c>
      <c r="AB56" s="221" t="s">
        <v>130</v>
      </c>
      <c r="AC56" s="241"/>
      <c r="AE56" s="251"/>
      <c r="AG56" s="183" t="str">
        <f t="shared" si="1"/>
        <v xml:space="preserve">[1,x,x,x,x,1,0,1,0,1]-&gt;[0,0,1,x,x,1,1,x,x,0];   </v>
      </c>
    </row>
    <row r="57" spans="1:33" ht="15.75" hidden="1" thickBot="1" x14ac:dyDescent="0.3">
      <c r="A57" s="248"/>
      <c r="B57" s="191"/>
      <c r="C57" s="220" t="s">
        <v>135</v>
      </c>
      <c r="D57" s="289">
        <v>1</v>
      </c>
      <c r="E57" s="214" t="s">
        <v>218</v>
      </c>
      <c r="F57" s="214" t="s">
        <v>218</v>
      </c>
      <c r="G57" s="214" t="s">
        <v>218</v>
      </c>
      <c r="H57" s="214" t="s">
        <v>218</v>
      </c>
      <c r="I57" s="191">
        <v>1</v>
      </c>
      <c r="J57" s="191">
        <v>0</v>
      </c>
      <c r="K57" s="191">
        <v>1</v>
      </c>
      <c r="L57" s="191">
        <v>1</v>
      </c>
      <c r="M57" s="191">
        <v>0</v>
      </c>
      <c r="N57" s="191" t="s">
        <v>134</v>
      </c>
      <c r="O57" s="211" t="s">
        <v>212</v>
      </c>
      <c r="P57" s="191" t="s">
        <v>135</v>
      </c>
      <c r="Q57" s="191">
        <v>0</v>
      </c>
      <c r="R57" s="191">
        <v>1</v>
      </c>
      <c r="S57" s="191">
        <v>0</v>
      </c>
      <c r="T57" s="233" t="s">
        <v>218</v>
      </c>
      <c r="U57" s="230" t="s">
        <v>218</v>
      </c>
      <c r="V57" s="191">
        <v>1</v>
      </c>
      <c r="W57" s="191">
        <v>1</v>
      </c>
      <c r="X57" s="233" t="s">
        <v>218</v>
      </c>
      <c r="Y57" s="230" t="s">
        <v>218</v>
      </c>
      <c r="Z57" s="191">
        <v>0</v>
      </c>
      <c r="AA57" s="191" t="s">
        <v>134</v>
      </c>
      <c r="AB57" s="221" t="s">
        <v>130</v>
      </c>
      <c r="AC57" s="241"/>
      <c r="AE57" s="251" t="s">
        <v>176</v>
      </c>
      <c r="AG57" s="183" t="str">
        <f t="shared" si="1"/>
        <v xml:space="preserve">[1,x,x,x,x,1,0,1,1,0]-&gt;[0,1,0,x,x,1,1,x,x,0];   </v>
      </c>
    </row>
    <row r="58" spans="1:33" ht="15.75" hidden="1" thickBot="1" x14ac:dyDescent="0.3">
      <c r="A58" s="248"/>
      <c r="B58" s="191"/>
      <c r="C58" s="220" t="s">
        <v>135</v>
      </c>
      <c r="D58" s="289">
        <v>1</v>
      </c>
      <c r="E58" s="214" t="s">
        <v>218</v>
      </c>
      <c r="F58" s="214" t="s">
        <v>218</v>
      </c>
      <c r="G58" s="214" t="s">
        <v>218</v>
      </c>
      <c r="H58" s="214" t="s">
        <v>218</v>
      </c>
      <c r="I58" s="191">
        <v>1</v>
      </c>
      <c r="J58" s="191">
        <v>0</v>
      </c>
      <c r="K58" s="191">
        <v>1</v>
      </c>
      <c r="L58" s="191">
        <v>1</v>
      </c>
      <c r="M58" s="191">
        <v>1</v>
      </c>
      <c r="N58" s="191" t="s">
        <v>134</v>
      </c>
      <c r="O58" s="211" t="s">
        <v>212</v>
      </c>
      <c r="P58" s="191" t="s">
        <v>135</v>
      </c>
      <c r="Q58" s="191">
        <v>0</v>
      </c>
      <c r="R58" s="191">
        <v>0</v>
      </c>
      <c r="S58" s="191">
        <v>1</v>
      </c>
      <c r="T58" s="233" t="s">
        <v>218</v>
      </c>
      <c r="U58" s="230" t="s">
        <v>218</v>
      </c>
      <c r="V58" s="191">
        <v>1</v>
      </c>
      <c r="W58" s="191">
        <v>1</v>
      </c>
      <c r="X58" s="233" t="s">
        <v>218</v>
      </c>
      <c r="Y58" s="230" t="s">
        <v>218</v>
      </c>
      <c r="Z58" s="191">
        <v>0</v>
      </c>
      <c r="AA58" s="191" t="s">
        <v>134</v>
      </c>
      <c r="AB58" s="221" t="s">
        <v>130</v>
      </c>
      <c r="AC58" s="241"/>
      <c r="AE58" s="251"/>
      <c r="AG58" s="183" t="str">
        <f t="shared" si="1"/>
        <v xml:space="preserve">[1,x,x,x,x,1,0,1,1,1]-&gt;[0,0,1,x,x,1,1,x,x,0];   </v>
      </c>
    </row>
    <row r="59" spans="1:33" x14ac:dyDescent="0.25">
      <c r="A59" s="248"/>
      <c r="B59" s="191"/>
      <c r="C59" s="220" t="s">
        <v>135</v>
      </c>
      <c r="D59" s="289">
        <v>1</v>
      </c>
      <c r="E59" s="294">
        <v>1</v>
      </c>
      <c r="F59" s="214" t="s">
        <v>218</v>
      </c>
      <c r="G59" s="288">
        <v>0</v>
      </c>
      <c r="H59" s="214" t="s">
        <v>218</v>
      </c>
      <c r="I59" s="216">
        <v>1</v>
      </c>
      <c r="J59" s="217">
        <v>1</v>
      </c>
      <c r="K59" s="219">
        <v>0</v>
      </c>
      <c r="L59" s="191">
        <v>0</v>
      </c>
      <c r="M59" s="191">
        <v>0</v>
      </c>
      <c r="N59" s="191" t="s">
        <v>134</v>
      </c>
      <c r="O59" s="211" t="s">
        <v>212</v>
      </c>
      <c r="P59" s="191" t="s">
        <v>135</v>
      </c>
      <c r="Q59" s="235">
        <v>0</v>
      </c>
      <c r="R59" s="226">
        <v>1</v>
      </c>
      <c r="S59" s="236">
        <v>0</v>
      </c>
      <c r="T59" s="235">
        <v>0</v>
      </c>
      <c r="U59" s="236">
        <v>0</v>
      </c>
      <c r="V59" s="312">
        <v>0</v>
      </c>
      <c r="W59" s="191">
        <v>1</v>
      </c>
      <c r="X59" s="235">
        <v>0</v>
      </c>
      <c r="Y59" s="236">
        <v>0</v>
      </c>
      <c r="Z59" s="191">
        <v>0</v>
      </c>
      <c r="AA59" s="191" t="s">
        <v>134</v>
      </c>
      <c r="AB59" s="221" t="s">
        <v>130</v>
      </c>
      <c r="AC59" s="241" t="s">
        <v>216</v>
      </c>
      <c r="AD59" s="308" t="s">
        <v>275</v>
      </c>
      <c r="AE59" s="251" t="s">
        <v>172</v>
      </c>
      <c r="AG59" s="183" t="str">
        <f t="shared" si="1"/>
        <v>[1,1,x,0,x,1,1,0,0,0]-&gt;[0,1,0,0,0,0,1,0,0,0];   "Low-Rom auf ProfDos</v>
      </c>
    </row>
    <row r="60" spans="1:33" x14ac:dyDescent="0.25">
      <c r="A60" s="248"/>
      <c r="B60" s="191"/>
      <c r="C60" s="220" t="s">
        <v>135</v>
      </c>
      <c r="D60" s="289">
        <v>1</v>
      </c>
      <c r="E60" s="273">
        <v>1</v>
      </c>
      <c r="F60" s="214" t="s">
        <v>218</v>
      </c>
      <c r="G60" s="289">
        <v>0</v>
      </c>
      <c r="H60" s="214" t="s">
        <v>218</v>
      </c>
      <c r="I60" s="220">
        <v>1</v>
      </c>
      <c r="J60" s="191">
        <v>1</v>
      </c>
      <c r="K60" s="221">
        <v>0</v>
      </c>
      <c r="L60" s="191">
        <v>0</v>
      </c>
      <c r="M60" s="191">
        <v>1</v>
      </c>
      <c r="N60" s="191" t="s">
        <v>134</v>
      </c>
      <c r="O60" s="211" t="s">
        <v>212</v>
      </c>
      <c r="P60" s="191" t="s">
        <v>135</v>
      </c>
      <c r="Q60" s="237">
        <v>0</v>
      </c>
      <c r="R60" s="213">
        <v>1</v>
      </c>
      <c r="S60" s="238">
        <v>0</v>
      </c>
      <c r="T60" s="237">
        <v>0</v>
      </c>
      <c r="U60" s="238">
        <v>0</v>
      </c>
      <c r="V60" s="313">
        <v>0</v>
      </c>
      <c r="W60" s="191">
        <v>1</v>
      </c>
      <c r="X60" s="237">
        <v>0</v>
      </c>
      <c r="Y60" s="238">
        <v>0</v>
      </c>
      <c r="Z60" s="191">
        <v>0</v>
      </c>
      <c r="AA60" s="191" t="s">
        <v>134</v>
      </c>
      <c r="AB60" s="221" t="s">
        <v>130</v>
      </c>
      <c r="AD60" s="309"/>
      <c r="AE60" s="251"/>
      <c r="AG60" s="183" t="str">
        <f t="shared" si="1"/>
        <v xml:space="preserve">[1,1,x,0,x,1,1,0,0,1]-&gt;[0,1,0,0,0,0,1,0,0,0];   </v>
      </c>
    </row>
    <row r="61" spans="1:33" x14ac:dyDescent="0.25">
      <c r="A61" s="248"/>
      <c r="B61" s="191"/>
      <c r="C61" s="220" t="s">
        <v>135</v>
      </c>
      <c r="D61" s="289">
        <v>1</v>
      </c>
      <c r="E61" s="273">
        <v>1</v>
      </c>
      <c r="F61" s="214" t="s">
        <v>218</v>
      </c>
      <c r="G61" s="289">
        <v>0</v>
      </c>
      <c r="H61" s="214" t="s">
        <v>218</v>
      </c>
      <c r="I61" s="220">
        <v>1</v>
      </c>
      <c r="J61" s="191">
        <v>1</v>
      </c>
      <c r="K61" s="221">
        <v>0</v>
      </c>
      <c r="L61" s="191">
        <v>1</v>
      </c>
      <c r="M61" s="191">
        <v>0</v>
      </c>
      <c r="N61" s="191" t="s">
        <v>134</v>
      </c>
      <c r="O61" s="211" t="s">
        <v>212</v>
      </c>
      <c r="P61" s="191" t="s">
        <v>135</v>
      </c>
      <c r="Q61" s="237">
        <v>0</v>
      </c>
      <c r="R61" s="213">
        <v>1</v>
      </c>
      <c r="S61" s="238">
        <v>0</v>
      </c>
      <c r="T61" s="237">
        <v>0</v>
      </c>
      <c r="U61" s="238">
        <v>0</v>
      </c>
      <c r="V61" s="313">
        <v>0</v>
      </c>
      <c r="W61" s="191">
        <v>1</v>
      </c>
      <c r="X61" s="237">
        <v>0</v>
      </c>
      <c r="Y61" s="238">
        <v>0</v>
      </c>
      <c r="Z61" s="191">
        <v>0</v>
      </c>
      <c r="AA61" s="191" t="s">
        <v>134</v>
      </c>
      <c r="AB61" s="221" t="s">
        <v>130</v>
      </c>
      <c r="AC61" s="241"/>
      <c r="AD61" s="309"/>
      <c r="AE61" s="251" t="s">
        <v>170</v>
      </c>
      <c r="AG61" s="183" t="str">
        <f t="shared" si="1"/>
        <v xml:space="preserve">[1,1,x,0,x,1,1,0,1,0]-&gt;[0,1,0,0,0,0,1,0,0,0];   </v>
      </c>
    </row>
    <row r="62" spans="1:33" ht="15.75" thickBot="1" x14ac:dyDescent="0.3">
      <c r="A62" s="248"/>
      <c r="B62" s="191"/>
      <c r="C62" s="220" t="s">
        <v>135</v>
      </c>
      <c r="D62" s="289">
        <v>1</v>
      </c>
      <c r="E62" s="274">
        <v>1</v>
      </c>
      <c r="F62" s="214" t="s">
        <v>218</v>
      </c>
      <c r="G62" s="289">
        <v>0</v>
      </c>
      <c r="H62" s="214" t="s">
        <v>218</v>
      </c>
      <c r="I62" s="222">
        <v>1</v>
      </c>
      <c r="J62" s="223">
        <v>1</v>
      </c>
      <c r="K62" s="225">
        <v>0</v>
      </c>
      <c r="L62" s="191">
        <v>1</v>
      </c>
      <c r="M62" s="191">
        <v>1</v>
      </c>
      <c r="N62" s="191" t="s">
        <v>134</v>
      </c>
      <c r="O62" s="211" t="s">
        <v>212</v>
      </c>
      <c r="P62" s="191" t="s">
        <v>135</v>
      </c>
      <c r="Q62" s="239">
        <v>0</v>
      </c>
      <c r="R62" s="227">
        <v>1</v>
      </c>
      <c r="S62" s="240">
        <v>0</v>
      </c>
      <c r="T62" s="239">
        <v>0</v>
      </c>
      <c r="U62" s="240">
        <v>0</v>
      </c>
      <c r="V62" s="314">
        <v>0</v>
      </c>
      <c r="W62" s="191">
        <v>1</v>
      </c>
      <c r="X62" s="239">
        <v>0</v>
      </c>
      <c r="Y62" s="240">
        <v>0</v>
      </c>
      <c r="Z62" s="191">
        <v>0</v>
      </c>
      <c r="AA62" s="191" t="s">
        <v>134</v>
      </c>
      <c r="AB62" s="221" t="s">
        <v>130</v>
      </c>
      <c r="AC62" s="241"/>
      <c r="AD62" s="310"/>
      <c r="AE62" s="251"/>
      <c r="AG62" s="183" t="str">
        <f t="shared" si="1"/>
        <v xml:space="preserve">[1,1,x,0,x,1,1,0,1,1]-&gt;[0,1,0,0,0,0,1,0,0,0];   </v>
      </c>
    </row>
    <row r="63" spans="1:33" x14ac:dyDescent="0.25">
      <c r="A63" s="248"/>
      <c r="B63" s="191"/>
      <c r="C63" s="220" t="s">
        <v>135</v>
      </c>
      <c r="D63" s="289">
        <v>1</v>
      </c>
      <c r="E63" s="214" t="s">
        <v>218</v>
      </c>
      <c r="F63" s="214" t="s">
        <v>218</v>
      </c>
      <c r="G63" s="289">
        <v>0</v>
      </c>
      <c r="H63" s="214" t="s">
        <v>218</v>
      </c>
      <c r="I63" s="216">
        <v>1</v>
      </c>
      <c r="J63" s="217">
        <v>1</v>
      </c>
      <c r="K63" s="219">
        <v>1</v>
      </c>
      <c r="L63" s="191">
        <v>0</v>
      </c>
      <c r="M63" s="191">
        <v>0</v>
      </c>
      <c r="N63" s="191" t="s">
        <v>134</v>
      </c>
      <c r="O63" s="211" t="s">
        <v>212</v>
      </c>
      <c r="P63" s="191" t="s">
        <v>135</v>
      </c>
      <c r="Q63" s="257">
        <v>0</v>
      </c>
      <c r="R63" s="258">
        <v>1</v>
      </c>
      <c r="S63" s="259">
        <v>0</v>
      </c>
      <c r="T63" s="257">
        <v>1</v>
      </c>
      <c r="U63" s="259">
        <v>1</v>
      </c>
      <c r="V63" s="297">
        <v>0</v>
      </c>
      <c r="W63" s="191">
        <v>1</v>
      </c>
      <c r="X63" s="257">
        <v>0</v>
      </c>
      <c r="Y63" s="259">
        <v>0</v>
      </c>
      <c r="Z63" s="191">
        <v>0</v>
      </c>
      <c r="AA63" s="191" t="s">
        <v>134</v>
      </c>
      <c r="AB63" s="221" t="s">
        <v>130</v>
      </c>
      <c r="AC63" s="242" t="s">
        <v>216</v>
      </c>
      <c r="AD63" s="296" t="s">
        <v>214</v>
      </c>
      <c r="AE63" s="251" t="s">
        <v>168</v>
      </c>
      <c r="AG63" s="183" t="str">
        <f t="shared" si="1"/>
        <v>[1,x,x,0,x,1,1,1,0,0]-&gt;[0,1,0,1,1,0,1,0,0,0];   "High-Rom ProfDos</v>
      </c>
    </row>
    <row r="64" spans="1:33" x14ac:dyDescent="0.25">
      <c r="A64" s="248"/>
      <c r="B64" s="191"/>
      <c r="C64" s="220" t="s">
        <v>135</v>
      </c>
      <c r="D64" s="289">
        <v>1</v>
      </c>
      <c r="E64" s="214" t="s">
        <v>218</v>
      </c>
      <c r="F64" s="214" t="s">
        <v>218</v>
      </c>
      <c r="G64" s="289">
        <v>0</v>
      </c>
      <c r="H64" s="214" t="s">
        <v>218</v>
      </c>
      <c r="I64" s="220">
        <v>1</v>
      </c>
      <c r="J64" s="191">
        <v>1</v>
      </c>
      <c r="K64" s="221">
        <v>1</v>
      </c>
      <c r="L64" s="191">
        <v>0</v>
      </c>
      <c r="M64" s="191">
        <v>1</v>
      </c>
      <c r="N64" s="191" t="s">
        <v>134</v>
      </c>
      <c r="O64" s="211" t="s">
        <v>212</v>
      </c>
      <c r="P64" s="191" t="s">
        <v>135</v>
      </c>
      <c r="Q64" s="257">
        <v>0</v>
      </c>
      <c r="R64" s="258">
        <v>1</v>
      </c>
      <c r="S64" s="259">
        <v>0</v>
      </c>
      <c r="T64" s="257">
        <v>1</v>
      </c>
      <c r="U64" s="259">
        <v>1</v>
      </c>
      <c r="V64" s="297">
        <v>0</v>
      </c>
      <c r="W64" s="191">
        <v>1</v>
      </c>
      <c r="X64" s="257">
        <v>0</v>
      </c>
      <c r="Y64" s="259">
        <v>0</v>
      </c>
      <c r="Z64" s="191">
        <v>0</v>
      </c>
      <c r="AA64" s="191" t="s">
        <v>134</v>
      </c>
      <c r="AB64" s="221" t="s">
        <v>130</v>
      </c>
      <c r="AD64" s="286"/>
      <c r="AE64" s="251"/>
      <c r="AG64" s="183" t="str">
        <f t="shared" si="1"/>
        <v xml:space="preserve">[1,x,x,0,x,1,1,1,0,1]-&gt;[0,1,0,1,1,0,1,0,0,0];   </v>
      </c>
    </row>
    <row r="65" spans="1:33" x14ac:dyDescent="0.25">
      <c r="A65" s="248"/>
      <c r="B65" s="191"/>
      <c r="C65" s="220" t="s">
        <v>135</v>
      </c>
      <c r="D65" s="289">
        <v>1</v>
      </c>
      <c r="E65" s="214" t="s">
        <v>218</v>
      </c>
      <c r="F65" s="214" t="s">
        <v>218</v>
      </c>
      <c r="G65" s="289">
        <v>0</v>
      </c>
      <c r="H65" s="214" t="s">
        <v>218</v>
      </c>
      <c r="I65" s="220">
        <v>1</v>
      </c>
      <c r="J65" s="191">
        <v>1</v>
      </c>
      <c r="K65" s="221">
        <v>1</v>
      </c>
      <c r="L65" s="191">
        <v>1</v>
      </c>
      <c r="M65" s="191">
        <v>0</v>
      </c>
      <c r="N65" s="191" t="s">
        <v>134</v>
      </c>
      <c r="O65" s="211" t="s">
        <v>212</v>
      </c>
      <c r="P65" s="191" t="s">
        <v>135</v>
      </c>
      <c r="Q65" s="257">
        <v>0</v>
      </c>
      <c r="R65" s="258">
        <v>1</v>
      </c>
      <c r="S65" s="259">
        <v>0</v>
      </c>
      <c r="T65" s="257">
        <v>1</v>
      </c>
      <c r="U65" s="259">
        <v>1</v>
      </c>
      <c r="V65" s="297">
        <v>0</v>
      </c>
      <c r="W65" s="191">
        <v>1</v>
      </c>
      <c r="X65" s="257">
        <v>0</v>
      </c>
      <c r="Y65" s="259">
        <v>0</v>
      </c>
      <c r="Z65" s="191">
        <v>0</v>
      </c>
      <c r="AA65" s="191" t="s">
        <v>134</v>
      </c>
      <c r="AB65" s="221" t="s">
        <v>130</v>
      </c>
      <c r="AC65" s="241"/>
      <c r="AD65" s="286"/>
      <c r="AE65" s="251" t="s">
        <v>166</v>
      </c>
      <c r="AG65" s="183" t="str">
        <f t="shared" si="1"/>
        <v xml:space="preserve">[1,x,x,0,x,1,1,1,1,0]-&gt;[0,1,0,1,1,0,1,0,0,0];   </v>
      </c>
    </row>
    <row r="66" spans="1:33" ht="15.75" thickBot="1" x14ac:dyDescent="0.3">
      <c r="A66" s="248"/>
      <c r="B66" s="191"/>
      <c r="C66" s="222" t="s">
        <v>135</v>
      </c>
      <c r="D66" s="290">
        <v>1</v>
      </c>
      <c r="E66" s="214" t="s">
        <v>218</v>
      </c>
      <c r="F66" s="214" t="s">
        <v>218</v>
      </c>
      <c r="G66" s="290">
        <v>0</v>
      </c>
      <c r="H66" s="229" t="s">
        <v>218</v>
      </c>
      <c r="I66" s="220">
        <v>1</v>
      </c>
      <c r="J66" s="191">
        <v>1</v>
      </c>
      <c r="K66" s="221">
        <v>1</v>
      </c>
      <c r="L66" s="191">
        <v>1</v>
      </c>
      <c r="M66" s="191">
        <v>1</v>
      </c>
      <c r="N66" s="191" t="s">
        <v>134</v>
      </c>
      <c r="O66" s="211" t="s">
        <v>212</v>
      </c>
      <c r="P66" s="191" t="s">
        <v>135</v>
      </c>
      <c r="Q66" s="257">
        <v>0</v>
      </c>
      <c r="R66" s="258">
        <v>1</v>
      </c>
      <c r="S66" s="259">
        <v>0</v>
      </c>
      <c r="T66" s="257">
        <v>1</v>
      </c>
      <c r="U66" s="259">
        <v>1</v>
      </c>
      <c r="V66" s="297">
        <v>0</v>
      </c>
      <c r="W66" s="191">
        <v>1</v>
      </c>
      <c r="X66" s="257">
        <v>0</v>
      </c>
      <c r="Y66" s="259">
        <v>0</v>
      </c>
      <c r="Z66" s="191">
        <v>0</v>
      </c>
      <c r="AA66" s="191" t="s">
        <v>134</v>
      </c>
      <c r="AB66" s="221" t="s">
        <v>130</v>
      </c>
      <c r="AC66" s="241"/>
      <c r="AD66" s="264"/>
      <c r="AE66" s="252"/>
      <c r="AG66" s="183" t="str">
        <f t="shared" si="1"/>
        <v xml:space="preserve">[1,x,x,0,x,1,1,1,1,1]-&gt;[0,1,0,1,1,0,1,0,0,0];   </v>
      </c>
    </row>
    <row r="67" spans="1:33" ht="15.75" hidden="1" thickBot="1" x14ac:dyDescent="0.3">
      <c r="A67" s="248"/>
      <c r="B67" s="191"/>
      <c r="C67" s="216" t="s">
        <v>135</v>
      </c>
      <c r="D67" s="289">
        <v>1</v>
      </c>
      <c r="E67" s="232" t="s">
        <v>218</v>
      </c>
      <c r="F67" s="228" t="s">
        <v>218</v>
      </c>
      <c r="G67" s="295">
        <v>1</v>
      </c>
      <c r="H67" s="214" t="s">
        <v>218</v>
      </c>
      <c r="I67" s="217">
        <v>0</v>
      </c>
      <c r="J67" s="217">
        <v>0</v>
      </c>
      <c r="K67" s="217">
        <v>0</v>
      </c>
      <c r="L67" s="217">
        <v>0</v>
      </c>
      <c r="M67" s="217">
        <v>0</v>
      </c>
      <c r="N67" s="217" t="s">
        <v>134</v>
      </c>
      <c r="O67" s="218" t="s">
        <v>212</v>
      </c>
      <c r="P67" s="217" t="s">
        <v>135</v>
      </c>
      <c r="Q67" s="217">
        <v>0</v>
      </c>
      <c r="R67" s="217">
        <v>0</v>
      </c>
      <c r="S67" s="217">
        <v>0</v>
      </c>
      <c r="T67" s="232" t="s">
        <v>218</v>
      </c>
      <c r="U67" s="270" t="s">
        <v>218</v>
      </c>
      <c r="V67" s="217">
        <v>1</v>
      </c>
      <c r="W67" s="217">
        <v>1</v>
      </c>
      <c r="X67" s="232" t="s">
        <v>218</v>
      </c>
      <c r="Y67" s="270" t="s">
        <v>218</v>
      </c>
      <c r="Z67" s="217">
        <v>0</v>
      </c>
      <c r="AA67" s="217" t="s">
        <v>134</v>
      </c>
      <c r="AB67" s="219" t="s">
        <v>130</v>
      </c>
      <c r="AC67" s="242" t="s">
        <v>216</v>
      </c>
      <c r="AD67" s="315" t="s">
        <v>266</v>
      </c>
      <c r="AE67" s="241" t="s">
        <v>208</v>
      </c>
      <c r="AG67" s="183" t="str">
        <f t="shared" si="1"/>
        <v>[1,x,x,1,x,0,0,0,0,0]-&gt;[0,0,0,x,x,1,1,x,x,0];   "ProfDos aus, RAM onboard, LoRom org, HiRom org</v>
      </c>
    </row>
    <row r="68" spans="1:33" ht="15.75" hidden="1" thickBot="1" x14ac:dyDescent="0.3">
      <c r="A68" s="248"/>
      <c r="B68" s="191"/>
      <c r="C68" s="220" t="s">
        <v>135</v>
      </c>
      <c r="D68" s="287" t="s">
        <v>218</v>
      </c>
      <c r="E68" s="233" t="s">
        <v>218</v>
      </c>
      <c r="F68" s="214" t="s">
        <v>218</v>
      </c>
      <c r="G68" s="230" t="s">
        <v>218</v>
      </c>
      <c r="H68" s="214" t="s">
        <v>218</v>
      </c>
      <c r="I68" s="191">
        <v>0</v>
      </c>
      <c r="J68" s="191">
        <v>0</v>
      </c>
      <c r="K68" s="191">
        <v>0</v>
      </c>
      <c r="L68" s="191">
        <v>0</v>
      </c>
      <c r="M68" s="191">
        <v>1</v>
      </c>
      <c r="N68" s="191" t="s">
        <v>134</v>
      </c>
      <c r="O68" s="211" t="s">
        <v>212</v>
      </c>
      <c r="P68" s="191" t="s">
        <v>135</v>
      </c>
      <c r="Q68" s="191">
        <v>0</v>
      </c>
      <c r="R68" s="191">
        <v>0</v>
      </c>
      <c r="S68" s="191">
        <v>1</v>
      </c>
      <c r="T68" s="233" t="s">
        <v>218</v>
      </c>
      <c r="U68" s="230" t="s">
        <v>218</v>
      </c>
      <c r="V68" s="191">
        <v>1</v>
      </c>
      <c r="W68" s="191">
        <v>1</v>
      </c>
      <c r="X68" s="233" t="s">
        <v>218</v>
      </c>
      <c r="Y68" s="230" t="s">
        <v>218</v>
      </c>
      <c r="Z68" s="191">
        <v>0</v>
      </c>
      <c r="AA68" s="191" t="s">
        <v>134</v>
      </c>
      <c r="AB68" s="221" t="s">
        <v>130</v>
      </c>
      <c r="AC68" s="242" t="s">
        <v>216</v>
      </c>
      <c r="AD68" s="316" t="s">
        <v>273</v>
      </c>
      <c r="AG68" s="183" t="str">
        <f t="shared" ref="AG68:AG99" si="2">C68&amp;D68&amp;","&amp;E68&amp;","&amp;F68&amp;","&amp;G68&amp;","&amp;H68&amp;","&amp;I68&amp;","&amp;J68&amp;","&amp;K68&amp;","&amp;L68&amp;","&amp;M68&amp;N68&amp;O68&amp;P68&amp;Q68&amp;","&amp;R68&amp;","&amp;S68&amp;","&amp;T68&amp;","&amp;U68&amp;","&amp;V68&amp;","&amp;W68&amp;","&amp;X68&amp;","&amp;Y68&amp;","&amp;Z68&amp;AA68&amp;AB68&amp;"   "&amp;AC68&amp;AD68</f>
        <v>[x,x,x,x,x,0,0,0,0,1]-&gt;[0,0,1,x,x,1,1,x,x,0];   "Original</v>
      </c>
    </row>
    <row r="69" spans="1:33" ht="15.75" hidden="1" thickBot="1" x14ac:dyDescent="0.3">
      <c r="A69" s="248"/>
      <c r="B69" s="191"/>
      <c r="C69" s="220" t="s">
        <v>135</v>
      </c>
      <c r="D69" s="287" t="s">
        <v>218</v>
      </c>
      <c r="E69" s="233" t="s">
        <v>218</v>
      </c>
      <c r="F69" s="214" t="s">
        <v>218</v>
      </c>
      <c r="G69" s="230" t="s">
        <v>218</v>
      </c>
      <c r="H69" s="214" t="s">
        <v>218</v>
      </c>
      <c r="I69" s="191">
        <v>0</v>
      </c>
      <c r="J69" s="191">
        <v>0</v>
      </c>
      <c r="K69" s="191">
        <v>0</v>
      </c>
      <c r="L69" s="191">
        <v>1</v>
      </c>
      <c r="M69" s="191">
        <v>0</v>
      </c>
      <c r="N69" s="191" t="s">
        <v>134</v>
      </c>
      <c r="O69" s="211" t="s">
        <v>212</v>
      </c>
      <c r="P69" s="191" t="s">
        <v>135</v>
      </c>
      <c r="Q69" s="191">
        <v>0</v>
      </c>
      <c r="R69" s="191">
        <v>1</v>
      </c>
      <c r="S69" s="191">
        <v>0</v>
      </c>
      <c r="T69" s="233" t="s">
        <v>218</v>
      </c>
      <c r="U69" s="230" t="s">
        <v>218</v>
      </c>
      <c r="V69" s="191">
        <v>1</v>
      </c>
      <c r="W69" s="191">
        <v>1</v>
      </c>
      <c r="X69" s="233" t="s">
        <v>218</v>
      </c>
      <c r="Y69" s="230" t="s">
        <v>218</v>
      </c>
      <c r="Z69" s="191">
        <v>0</v>
      </c>
      <c r="AA69" s="191" t="s">
        <v>134</v>
      </c>
      <c r="AB69" s="221" t="s">
        <v>130</v>
      </c>
      <c r="AC69" s="241"/>
      <c r="AE69" s="183" t="s">
        <v>206</v>
      </c>
      <c r="AG69" s="183" t="str">
        <f t="shared" si="2"/>
        <v xml:space="preserve">[x,x,x,x,x,0,0,0,1,0]-&gt;[0,1,0,x,x,1,1,x,x,0];   </v>
      </c>
    </row>
    <row r="70" spans="1:33" ht="15.75" hidden="1" thickBot="1" x14ac:dyDescent="0.3">
      <c r="A70" s="248"/>
      <c r="B70" s="191"/>
      <c r="C70" s="220" t="s">
        <v>135</v>
      </c>
      <c r="D70" s="287" t="s">
        <v>218</v>
      </c>
      <c r="E70" s="233" t="s">
        <v>218</v>
      </c>
      <c r="F70" s="214" t="s">
        <v>218</v>
      </c>
      <c r="G70" s="230" t="s">
        <v>218</v>
      </c>
      <c r="H70" s="214" t="s">
        <v>218</v>
      </c>
      <c r="I70" s="191">
        <v>0</v>
      </c>
      <c r="J70" s="191">
        <v>0</v>
      </c>
      <c r="K70" s="191">
        <v>0</v>
      </c>
      <c r="L70" s="191">
        <v>1</v>
      </c>
      <c r="M70" s="191">
        <v>1</v>
      </c>
      <c r="N70" s="191" t="s">
        <v>134</v>
      </c>
      <c r="O70" s="211" t="s">
        <v>212</v>
      </c>
      <c r="P70" s="191" t="s">
        <v>135</v>
      </c>
      <c r="Q70" s="191">
        <v>0</v>
      </c>
      <c r="R70" s="191">
        <v>1</v>
      </c>
      <c r="S70" s="191">
        <v>1</v>
      </c>
      <c r="T70" s="233" t="s">
        <v>218</v>
      </c>
      <c r="U70" s="230" t="s">
        <v>218</v>
      </c>
      <c r="V70" s="191">
        <v>1</v>
      </c>
      <c r="W70" s="191">
        <v>1</v>
      </c>
      <c r="X70" s="233" t="s">
        <v>218</v>
      </c>
      <c r="Y70" s="230" t="s">
        <v>218</v>
      </c>
      <c r="Z70" s="191">
        <v>0</v>
      </c>
      <c r="AA70" s="191" t="s">
        <v>134</v>
      </c>
      <c r="AB70" s="221" t="s">
        <v>130</v>
      </c>
      <c r="AC70" s="241"/>
      <c r="AG70" s="183" t="str">
        <f t="shared" si="2"/>
        <v xml:space="preserve">[x,x,x,x,x,0,0,0,1,1]-&gt;[0,1,1,x,x,1,1,x,x,0];   </v>
      </c>
    </row>
    <row r="71" spans="1:33" ht="15.75" hidden="1" thickBot="1" x14ac:dyDescent="0.3">
      <c r="A71" s="248"/>
      <c r="B71" s="191"/>
      <c r="C71" s="220" t="s">
        <v>135</v>
      </c>
      <c r="D71" s="287" t="s">
        <v>218</v>
      </c>
      <c r="E71" s="233" t="s">
        <v>218</v>
      </c>
      <c r="F71" s="214" t="s">
        <v>218</v>
      </c>
      <c r="G71" s="230" t="s">
        <v>218</v>
      </c>
      <c r="H71" s="214" t="s">
        <v>218</v>
      </c>
      <c r="I71" s="191">
        <v>0</v>
      </c>
      <c r="J71" s="191">
        <v>0</v>
      </c>
      <c r="K71" s="191">
        <v>1</v>
      </c>
      <c r="L71" s="191">
        <v>0</v>
      </c>
      <c r="M71" s="191">
        <v>0</v>
      </c>
      <c r="N71" s="191" t="s">
        <v>134</v>
      </c>
      <c r="O71" s="211" t="s">
        <v>212</v>
      </c>
      <c r="P71" s="191" t="s">
        <v>135</v>
      </c>
      <c r="Q71" s="191">
        <v>0</v>
      </c>
      <c r="R71" s="191">
        <v>0</v>
      </c>
      <c r="S71" s="191">
        <v>0</v>
      </c>
      <c r="T71" s="233" t="s">
        <v>218</v>
      </c>
      <c r="U71" s="230" t="s">
        <v>218</v>
      </c>
      <c r="V71" s="191">
        <v>1</v>
      </c>
      <c r="W71" s="191">
        <v>1</v>
      </c>
      <c r="X71" s="233" t="s">
        <v>218</v>
      </c>
      <c r="Y71" s="230" t="s">
        <v>218</v>
      </c>
      <c r="Z71" s="191">
        <v>0</v>
      </c>
      <c r="AA71" s="191" t="s">
        <v>134</v>
      </c>
      <c r="AB71" s="221" t="s">
        <v>130</v>
      </c>
      <c r="AC71" s="241"/>
      <c r="AE71" s="183" t="s">
        <v>201</v>
      </c>
      <c r="AG71" s="183" t="str">
        <f t="shared" si="2"/>
        <v xml:space="preserve">[x,x,x,x,x,0,0,1,0,0]-&gt;[0,0,0,x,x,1,1,x,x,0];   </v>
      </c>
    </row>
    <row r="72" spans="1:33" ht="15.75" hidden="1" thickBot="1" x14ac:dyDescent="0.3">
      <c r="A72" s="248"/>
      <c r="B72" s="191"/>
      <c r="C72" s="220" t="s">
        <v>135</v>
      </c>
      <c r="D72" s="287" t="s">
        <v>218</v>
      </c>
      <c r="E72" s="233" t="s">
        <v>218</v>
      </c>
      <c r="F72" s="214" t="s">
        <v>218</v>
      </c>
      <c r="G72" s="230" t="s">
        <v>218</v>
      </c>
      <c r="H72" s="214" t="s">
        <v>218</v>
      </c>
      <c r="I72" s="191">
        <v>0</v>
      </c>
      <c r="J72" s="191">
        <v>0</v>
      </c>
      <c r="K72" s="191">
        <v>1</v>
      </c>
      <c r="L72" s="191">
        <v>0</v>
      </c>
      <c r="M72" s="191">
        <v>1</v>
      </c>
      <c r="N72" s="191" t="s">
        <v>134</v>
      </c>
      <c r="O72" s="211" t="s">
        <v>212</v>
      </c>
      <c r="P72" s="191" t="s">
        <v>135</v>
      </c>
      <c r="Q72" s="191">
        <v>0</v>
      </c>
      <c r="R72" s="191">
        <v>0</v>
      </c>
      <c r="S72" s="191">
        <v>1</v>
      </c>
      <c r="T72" s="233" t="s">
        <v>218</v>
      </c>
      <c r="U72" s="230" t="s">
        <v>218</v>
      </c>
      <c r="V72" s="191">
        <v>1</v>
      </c>
      <c r="W72" s="191">
        <v>1</v>
      </c>
      <c r="X72" s="233" t="s">
        <v>218</v>
      </c>
      <c r="Y72" s="230" t="s">
        <v>218</v>
      </c>
      <c r="Z72" s="191">
        <v>0</v>
      </c>
      <c r="AA72" s="191" t="s">
        <v>134</v>
      </c>
      <c r="AB72" s="221" t="s">
        <v>130</v>
      </c>
      <c r="AC72" s="241"/>
      <c r="AG72" s="183" t="str">
        <f t="shared" si="2"/>
        <v xml:space="preserve">[x,x,x,x,x,0,0,1,0,1]-&gt;[0,0,1,x,x,1,1,x,x,0];   </v>
      </c>
    </row>
    <row r="73" spans="1:33" ht="15.75" hidden="1" thickBot="1" x14ac:dyDescent="0.3">
      <c r="A73" s="248"/>
      <c r="B73" s="191"/>
      <c r="C73" s="220" t="s">
        <v>135</v>
      </c>
      <c r="D73" s="287" t="s">
        <v>218</v>
      </c>
      <c r="E73" s="233" t="s">
        <v>218</v>
      </c>
      <c r="F73" s="214" t="s">
        <v>218</v>
      </c>
      <c r="G73" s="230" t="s">
        <v>218</v>
      </c>
      <c r="H73" s="214" t="s">
        <v>218</v>
      </c>
      <c r="I73" s="191">
        <v>0</v>
      </c>
      <c r="J73" s="191">
        <v>0</v>
      </c>
      <c r="K73" s="191">
        <v>1</v>
      </c>
      <c r="L73" s="191">
        <v>1</v>
      </c>
      <c r="M73" s="191">
        <v>0</v>
      </c>
      <c r="N73" s="191" t="s">
        <v>134</v>
      </c>
      <c r="O73" s="211" t="s">
        <v>212</v>
      </c>
      <c r="P73" s="191" t="s">
        <v>135</v>
      </c>
      <c r="Q73" s="191">
        <v>0</v>
      </c>
      <c r="R73" s="191">
        <v>1</v>
      </c>
      <c r="S73" s="191">
        <v>0</v>
      </c>
      <c r="T73" s="233" t="s">
        <v>218</v>
      </c>
      <c r="U73" s="230" t="s">
        <v>218</v>
      </c>
      <c r="V73" s="191">
        <v>1</v>
      </c>
      <c r="W73" s="191">
        <v>1</v>
      </c>
      <c r="X73" s="233" t="s">
        <v>218</v>
      </c>
      <c r="Y73" s="230" t="s">
        <v>218</v>
      </c>
      <c r="Z73" s="191">
        <v>0</v>
      </c>
      <c r="AA73" s="191" t="s">
        <v>134</v>
      </c>
      <c r="AB73" s="221" t="s">
        <v>130</v>
      </c>
      <c r="AC73" s="241"/>
      <c r="AE73" s="183" t="s">
        <v>199</v>
      </c>
      <c r="AG73" s="183" t="str">
        <f t="shared" si="2"/>
        <v xml:space="preserve">[x,x,x,x,x,0,0,1,1,0]-&gt;[0,1,0,x,x,1,1,x,x,0];   </v>
      </c>
    </row>
    <row r="74" spans="1:33" ht="15.75" hidden="1" thickBot="1" x14ac:dyDescent="0.3">
      <c r="A74" s="248"/>
      <c r="B74" s="191"/>
      <c r="C74" s="220" t="s">
        <v>135</v>
      </c>
      <c r="D74" s="287" t="s">
        <v>218</v>
      </c>
      <c r="E74" s="233" t="s">
        <v>218</v>
      </c>
      <c r="F74" s="214" t="s">
        <v>218</v>
      </c>
      <c r="G74" s="230" t="s">
        <v>218</v>
      </c>
      <c r="H74" s="214" t="s">
        <v>218</v>
      </c>
      <c r="I74" s="191">
        <v>0</v>
      </c>
      <c r="J74" s="191">
        <v>0</v>
      </c>
      <c r="K74" s="191">
        <v>1</v>
      </c>
      <c r="L74" s="191">
        <v>1</v>
      </c>
      <c r="M74" s="191">
        <v>1</v>
      </c>
      <c r="N74" s="191" t="s">
        <v>134</v>
      </c>
      <c r="O74" s="211" t="s">
        <v>212</v>
      </c>
      <c r="P74" s="191" t="s">
        <v>135</v>
      </c>
      <c r="Q74" s="191">
        <v>0</v>
      </c>
      <c r="R74" s="191">
        <v>1</v>
      </c>
      <c r="S74" s="191">
        <v>1</v>
      </c>
      <c r="T74" s="233" t="s">
        <v>218</v>
      </c>
      <c r="U74" s="230" t="s">
        <v>218</v>
      </c>
      <c r="V74" s="191">
        <v>1</v>
      </c>
      <c r="W74" s="191">
        <v>1</v>
      </c>
      <c r="X74" s="233" t="s">
        <v>218</v>
      </c>
      <c r="Y74" s="230" t="s">
        <v>218</v>
      </c>
      <c r="Z74" s="191">
        <v>0</v>
      </c>
      <c r="AA74" s="191" t="s">
        <v>134</v>
      </c>
      <c r="AB74" s="221" t="s">
        <v>130</v>
      </c>
      <c r="AC74" s="241"/>
      <c r="AG74" s="183" t="str">
        <f t="shared" si="2"/>
        <v xml:space="preserve">[x,x,x,x,x,0,0,1,1,1]-&gt;[0,1,1,x,x,1,1,x,x,0];   </v>
      </c>
    </row>
    <row r="75" spans="1:33" ht="15.75" hidden="1" thickBot="1" x14ac:dyDescent="0.3">
      <c r="A75" s="248"/>
      <c r="B75" s="191"/>
      <c r="C75" s="220" t="s">
        <v>135</v>
      </c>
      <c r="D75" s="288">
        <v>1</v>
      </c>
      <c r="E75" s="233" t="s">
        <v>218</v>
      </c>
      <c r="F75" s="214" t="s">
        <v>218</v>
      </c>
      <c r="G75" s="288">
        <v>1</v>
      </c>
      <c r="H75" s="214" t="s">
        <v>218</v>
      </c>
      <c r="I75" s="191">
        <v>0</v>
      </c>
      <c r="J75" s="191">
        <v>1</v>
      </c>
      <c r="K75" s="191">
        <v>0</v>
      </c>
      <c r="L75" s="191">
        <v>0</v>
      </c>
      <c r="M75" s="191">
        <v>0</v>
      </c>
      <c r="N75" s="191" t="s">
        <v>134</v>
      </c>
      <c r="O75" s="211" t="s">
        <v>212</v>
      </c>
      <c r="P75" s="191" t="s">
        <v>135</v>
      </c>
      <c r="Q75" s="191">
        <v>0</v>
      </c>
      <c r="R75" s="191">
        <v>0</v>
      </c>
      <c r="S75" s="191">
        <v>0</v>
      </c>
      <c r="T75" s="233" t="s">
        <v>218</v>
      </c>
      <c r="U75" s="230" t="s">
        <v>218</v>
      </c>
      <c r="V75" s="191">
        <v>1</v>
      </c>
      <c r="W75" s="191">
        <v>1</v>
      </c>
      <c r="X75" s="233" t="s">
        <v>218</v>
      </c>
      <c r="Y75" s="230" t="s">
        <v>218</v>
      </c>
      <c r="Z75" s="191">
        <v>0</v>
      </c>
      <c r="AA75" s="191" t="s">
        <v>134</v>
      </c>
      <c r="AB75" s="221" t="s">
        <v>130</v>
      </c>
      <c r="AC75" s="241"/>
      <c r="AE75" s="183" t="s">
        <v>196</v>
      </c>
      <c r="AG75" s="183" t="str">
        <f t="shared" si="2"/>
        <v xml:space="preserve">[1,x,x,1,x,0,1,0,0,0]-&gt;[0,0,0,x,x,1,1,x,x,0];   </v>
      </c>
    </row>
    <row r="76" spans="1:33" ht="15.75" hidden="1" thickBot="1" x14ac:dyDescent="0.3">
      <c r="A76" s="248"/>
      <c r="B76" s="191"/>
      <c r="C76" s="220" t="s">
        <v>135</v>
      </c>
      <c r="D76" s="289">
        <v>1</v>
      </c>
      <c r="E76" s="233" t="s">
        <v>218</v>
      </c>
      <c r="F76" s="214" t="s">
        <v>218</v>
      </c>
      <c r="G76" s="289">
        <v>1</v>
      </c>
      <c r="H76" s="214" t="s">
        <v>218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 t="s">
        <v>134</v>
      </c>
      <c r="O76" s="211" t="s">
        <v>212</v>
      </c>
      <c r="P76" s="191" t="s">
        <v>135</v>
      </c>
      <c r="Q76" s="191">
        <v>0</v>
      </c>
      <c r="R76" s="191">
        <v>0</v>
      </c>
      <c r="S76" s="191">
        <v>1</v>
      </c>
      <c r="T76" s="233" t="s">
        <v>218</v>
      </c>
      <c r="U76" s="230" t="s">
        <v>218</v>
      </c>
      <c r="V76" s="191">
        <v>1</v>
      </c>
      <c r="W76" s="191">
        <v>1</v>
      </c>
      <c r="X76" s="233" t="s">
        <v>218</v>
      </c>
      <c r="Y76" s="230" t="s">
        <v>218</v>
      </c>
      <c r="Z76" s="191">
        <v>0</v>
      </c>
      <c r="AA76" s="191" t="s">
        <v>134</v>
      </c>
      <c r="AB76" s="221" t="s">
        <v>130</v>
      </c>
      <c r="AC76" s="241"/>
      <c r="AG76" s="183" t="str">
        <f t="shared" si="2"/>
        <v xml:space="preserve">[1,x,x,1,x,0,1,0,0,1]-&gt;[0,0,1,x,x,1,1,x,x,0];   </v>
      </c>
    </row>
    <row r="77" spans="1:33" ht="15.75" hidden="1" thickBot="1" x14ac:dyDescent="0.3">
      <c r="A77" s="248"/>
      <c r="B77" s="191"/>
      <c r="C77" s="220" t="s">
        <v>135</v>
      </c>
      <c r="D77" s="289">
        <v>1</v>
      </c>
      <c r="E77" s="233" t="s">
        <v>218</v>
      </c>
      <c r="F77" s="214" t="s">
        <v>218</v>
      </c>
      <c r="G77" s="289">
        <v>1</v>
      </c>
      <c r="H77" s="214" t="s">
        <v>218</v>
      </c>
      <c r="I77" s="191">
        <v>0</v>
      </c>
      <c r="J77" s="191">
        <v>1</v>
      </c>
      <c r="K77" s="191">
        <v>0</v>
      </c>
      <c r="L77" s="191">
        <v>1</v>
      </c>
      <c r="M77" s="191">
        <v>0</v>
      </c>
      <c r="N77" s="191" t="s">
        <v>134</v>
      </c>
      <c r="O77" s="211" t="s">
        <v>212</v>
      </c>
      <c r="P77" s="191" t="s">
        <v>135</v>
      </c>
      <c r="Q77" s="191">
        <v>0</v>
      </c>
      <c r="R77" s="191">
        <v>1</v>
      </c>
      <c r="S77" s="191">
        <v>0</v>
      </c>
      <c r="T77" s="233" t="s">
        <v>218</v>
      </c>
      <c r="U77" s="230" t="s">
        <v>218</v>
      </c>
      <c r="V77" s="191">
        <v>1</v>
      </c>
      <c r="W77" s="191">
        <v>1</v>
      </c>
      <c r="X77" s="233" t="s">
        <v>218</v>
      </c>
      <c r="Y77" s="230" t="s">
        <v>218</v>
      </c>
      <c r="Z77" s="191">
        <v>0</v>
      </c>
      <c r="AA77" s="191" t="s">
        <v>134</v>
      </c>
      <c r="AB77" s="221" t="s">
        <v>130</v>
      </c>
      <c r="AC77" s="241"/>
      <c r="AE77" s="183" t="s">
        <v>194</v>
      </c>
      <c r="AG77" s="183" t="str">
        <f t="shared" si="2"/>
        <v xml:space="preserve">[1,x,x,1,x,0,1,0,1,0]-&gt;[0,1,0,x,x,1,1,x,x,0];   </v>
      </c>
    </row>
    <row r="78" spans="1:33" ht="15.75" hidden="1" thickBot="1" x14ac:dyDescent="0.3">
      <c r="A78" s="248"/>
      <c r="B78" s="191"/>
      <c r="C78" s="220" t="s">
        <v>135</v>
      </c>
      <c r="D78" s="289">
        <v>1</v>
      </c>
      <c r="E78" s="233" t="s">
        <v>218</v>
      </c>
      <c r="F78" s="214" t="s">
        <v>218</v>
      </c>
      <c r="G78" s="289">
        <v>1</v>
      </c>
      <c r="H78" s="214" t="s">
        <v>218</v>
      </c>
      <c r="I78" s="191">
        <v>0</v>
      </c>
      <c r="J78" s="191">
        <v>1</v>
      </c>
      <c r="K78" s="191">
        <v>0</v>
      </c>
      <c r="L78" s="191">
        <v>1</v>
      </c>
      <c r="M78" s="191">
        <v>1</v>
      </c>
      <c r="N78" s="191" t="s">
        <v>134</v>
      </c>
      <c r="O78" s="211" t="s">
        <v>212</v>
      </c>
      <c r="P78" s="191" t="s">
        <v>135</v>
      </c>
      <c r="Q78" s="191">
        <v>0</v>
      </c>
      <c r="R78" s="191">
        <v>1</v>
      </c>
      <c r="S78" s="191">
        <v>1</v>
      </c>
      <c r="T78" s="233" t="s">
        <v>218</v>
      </c>
      <c r="U78" s="230" t="s">
        <v>218</v>
      </c>
      <c r="V78" s="191">
        <v>1</v>
      </c>
      <c r="W78" s="191">
        <v>1</v>
      </c>
      <c r="X78" s="233" t="s">
        <v>218</v>
      </c>
      <c r="Y78" s="230" t="s">
        <v>218</v>
      </c>
      <c r="Z78" s="191">
        <v>0</v>
      </c>
      <c r="AA78" s="191" t="s">
        <v>134</v>
      </c>
      <c r="AB78" s="221" t="s">
        <v>130</v>
      </c>
      <c r="AC78" s="241"/>
      <c r="AG78" s="183" t="str">
        <f t="shared" si="2"/>
        <v xml:space="preserve">[1,x,x,1,x,0,1,0,1,1]-&gt;[0,1,1,x,x,1,1,x,x,0];   </v>
      </c>
    </row>
    <row r="79" spans="1:33" ht="15.75" hidden="1" thickBot="1" x14ac:dyDescent="0.3">
      <c r="A79" s="248"/>
      <c r="B79" s="191"/>
      <c r="C79" s="220" t="s">
        <v>135</v>
      </c>
      <c r="D79" s="289">
        <v>1</v>
      </c>
      <c r="E79" s="233" t="s">
        <v>218</v>
      </c>
      <c r="F79" s="214" t="s">
        <v>218</v>
      </c>
      <c r="G79" s="289">
        <v>1</v>
      </c>
      <c r="H79" s="214" t="s">
        <v>218</v>
      </c>
      <c r="I79" s="191">
        <v>0</v>
      </c>
      <c r="J79" s="191">
        <v>1</v>
      </c>
      <c r="K79" s="191">
        <v>1</v>
      </c>
      <c r="L79" s="191">
        <v>0</v>
      </c>
      <c r="M79" s="191">
        <v>0</v>
      </c>
      <c r="N79" s="191" t="s">
        <v>134</v>
      </c>
      <c r="O79" s="211" t="s">
        <v>212</v>
      </c>
      <c r="P79" s="191" t="s">
        <v>135</v>
      </c>
      <c r="Q79" s="191">
        <v>0</v>
      </c>
      <c r="R79" s="191">
        <v>0</v>
      </c>
      <c r="S79" s="191">
        <v>0</v>
      </c>
      <c r="T79" s="233" t="s">
        <v>218</v>
      </c>
      <c r="U79" s="230" t="s">
        <v>218</v>
      </c>
      <c r="V79" s="191">
        <v>1</v>
      </c>
      <c r="W79" s="191">
        <v>1</v>
      </c>
      <c r="X79" s="233" t="s">
        <v>218</v>
      </c>
      <c r="Y79" s="230" t="s">
        <v>218</v>
      </c>
      <c r="Z79" s="191">
        <v>0</v>
      </c>
      <c r="AA79" s="191" t="s">
        <v>134</v>
      </c>
      <c r="AB79" s="221" t="s">
        <v>130</v>
      </c>
      <c r="AC79" s="241"/>
      <c r="AE79" s="183" t="s">
        <v>191</v>
      </c>
      <c r="AG79" s="183" t="str">
        <f t="shared" si="2"/>
        <v xml:space="preserve">[1,x,x,1,x,0,1,1,0,0]-&gt;[0,0,0,x,x,1,1,x,x,0];   </v>
      </c>
    </row>
    <row r="80" spans="1:33" ht="15.75" hidden="1" thickBot="1" x14ac:dyDescent="0.3">
      <c r="A80" s="248"/>
      <c r="B80" s="191"/>
      <c r="C80" s="220" t="s">
        <v>135</v>
      </c>
      <c r="D80" s="289">
        <v>1</v>
      </c>
      <c r="E80" s="233" t="s">
        <v>218</v>
      </c>
      <c r="F80" s="214" t="s">
        <v>218</v>
      </c>
      <c r="G80" s="289">
        <v>1</v>
      </c>
      <c r="H80" s="214" t="s">
        <v>218</v>
      </c>
      <c r="I80" s="191">
        <v>0</v>
      </c>
      <c r="J80" s="191">
        <v>1</v>
      </c>
      <c r="K80" s="191">
        <v>1</v>
      </c>
      <c r="L80" s="191">
        <v>0</v>
      </c>
      <c r="M80" s="191">
        <v>1</v>
      </c>
      <c r="N80" s="191" t="s">
        <v>134</v>
      </c>
      <c r="O80" s="211" t="s">
        <v>212</v>
      </c>
      <c r="P80" s="191" t="s">
        <v>135</v>
      </c>
      <c r="Q80" s="191">
        <v>0</v>
      </c>
      <c r="R80" s="191">
        <v>0</v>
      </c>
      <c r="S80" s="191">
        <v>1</v>
      </c>
      <c r="T80" s="233" t="s">
        <v>218</v>
      </c>
      <c r="U80" s="230" t="s">
        <v>218</v>
      </c>
      <c r="V80" s="191">
        <v>1</v>
      </c>
      <c r="W80" s="191">
        <v>1</v>
      </c>
      <c r="X80" s="233" t="s">
        <v>218</v>
      </c>
      <c r="Y80" s="230" t="s">
        <v>218</v>
      </c>
      <c r="Z80" s="191">
        <v>0</v>
      </c>
      <c r="AA80" s="191" t="s">
        <v>134</v>
      </c>
      <c r="AB80" s="221" t="s">
        <v>130</v>
      </c>
      <c r="AC80" s="241"/>
      <c r="AG80" s="183" t="str">
        <f t="shared" si="2"/>
        <v xml:space="preserve">[1,x,x,1,x,0,1,1,0,1]-&gt;[0,0,1,x,x,1,1,x,x,0];   </v>
      </c>
    </row>
    <row r="81" spans="1:33" ht="15.75" hidden="1" thickBot="1" x14ac:dyDescent="0.3">
      <c r="A81" s="248"/>
      <c r="B81" s="191"/>
      <c r="C81" s="220" t="s">
        <v>135</v>
      </c>
      <c r="D81" s="289">
        <v>1</v>
      </c>
      <c r="E81" s="233" t="s">
        <v>218</v>
      </c>
      <c r="F81" s="214" t="s">
        <v>218</v>
      </c>
      <c r="G81" s="289">
        <v>1</v>
      </c>
      <c r="H81" s="214" t="s">
        <v>218</v>
      </c>
      <c r="I81" s="191">
        <v>0</v>
      </c>
      <c r="J81" s="191">
        <v>1</v>
      </c>
      <c r="K81" s="191">
        <v>1</v>
      </c>
      <c r="L81" s="191">
        <v>1</v>
      </c>
      <c r="M81" s="191">
        <v>0</v>
      </c>
      <c r="N81" s="191" t="s">
        <v>134</v>
      </c>
      <c r="O81" s="211" t="s">
        <v>212</v>
      </c>
      <c r="P81" s="191" t="s">
        <v>135</v>
      </c>
      <c r="Q81" s="191">
        <v>0</v>
      </c>
      <c r="R81" s="191">
        <v>1</v>
      </c>
      <c r="S81" s="191">
        <v>0</v>
      </c>
      <c r="T81" s="233" t="s">
        <v>218</v>
      </c>
      <c r="U81" s="230" t="s">
        <v>218</v>
      </c>
      <c r="V81" s="191">
        <v>1</v>
      </c>
      <c r="W81" s="191">
        <v>1</v>
      </c>
      <c r="X81" s="233" t="s">
        <v>218</v>
      </c>
      <c r="Y81" s="230" t="s">
        <v>218</v>
      </c>
      <c r="Z81" s="191">
        <v>0</v>
      </c>
      <c r="AA81" s="191" t="s">
        <v>134</v>
      </c>
      <c r="AB81" s="221" t="s">
        <v>130</v>
      </c>
      <c r="AC81" s="241"/>
      <c r="AE81" s="183" t="s">
        <v>188</v>
      </c>
      <c r="AG81" s="183" t="str">
        <f t="shared" si="2"/>
        <v xml:space="preserve">[1,x,x,1,x,0,1,1,1,0]-&gt;[0,1,0,x,x,1,1,x,x,0];   </v>
      </c>
    </row>
    <row r="82" spans="1:33" ht="15.75" hidden="1" thickBot="1" x14ac:dyDescent="0.3">
      <c r="A82" s="248"/>
      <c r="B82" s="191"/>
      <c r="C82" s="220" t="s">
        <v>135</v>
      </c>
      <c r="D82" s="289">
        <v>1</v>
      </c>
      <c r="E82" s="233" t="s">
        <v>218</v>
      </c>
      <c r="F82" s="214" t="s">
        <v>218</v>
      </c>
      <c r="G82" s="290">
        <v>1</v>
      </c>
      <c r="H82" s="214" t="s">
        <v>218</v>
      </c>
      <c r="I82" s="191">
        <v>0</v>
      </c>
      <c r="J82" s="191">
        <v>1</v>
      </c>
      <c r="K82" s="191">
        <v>1</v>
      </c>
      <c r="L82" s="191">
        <v>1</v>
      </c>
      <c r="M82" s="191">
        <v>1</v>
      </c>
      <c r="N82" s="191" t="s">
        <v>134</v>
      </c>
      <c r="O82" s="211" t="s">
        <v>212</v>
      </c>
      <c r="P82" s="191" t="s">
        <v>135</v>
      </c>
      <c r="Q82" s="191">
        <v>0</v>
      </c>
      <c r="R82" s="191">
        <v>1</v>
      </c>
      <c r="S82" s="191">
        <v>1</v>
      </c>
      <c r="T82" s="233" t="s">
        <v>218</v>
      </c>
      <c r="U82" s="230" t="s">
        <v>218</v>
      </c>
      <c r="V82" s="191">
        <v>1</v>
      </c>
      <c r="W82" s="191">
        <v>1</v>
      </c>
      <c r="X82" s="233" t="s">
        <v>218</v>
      </c>
      <c r="Y82" s="230" t="s">
        <v>218</v>
      </c>
      <c r="Z82" s="191">
        <v>0</v>
      </c>
      <c r="AA82" s="191" t="s">
        <v>134</v>
      </c>
      <c r="AB82" s="221" t="s">
        <v>130</v>
      </c>
      <c r="AC82" s="241"/>
      <c r="AG82" s="183" t="str">
        <f t="shared" si="2"/>
        <v xml:space="preserve">[1,x,x,1,x,0,1,1,1,1]-&gt;[0,1,1,x,x,1,1,x,x,0];   </v>
      </c>
    </row>
    <row r="83" spans="1:33" ht="15.75" hidden="1" thickBot="1" x14ac:dyDescent="0.3">
      <c r="A83" s="248"/>
      <c r="B83" s="191"/>
      <c r="C83" s="220" t="s">
        <v>135</v>
      </c>
      <c r="D83" s="289">
        <v>1</v>
      </c>
      <c r="E83" s="233" t="s">
        <v>218</v>
      </c>
      <c r="F83" s="214" t="s">
        <v>218</v>
      </c>
      <c r="G83" s="214" t="s">
        <v>218</v>
      </c>
      <c r="H83" s="214" t="s">
        <v>218</v>
      </c>
      <c r="I83" s="191">
        <v>1</v>
      </c>
      <c r="J83" s="191">
        <v>0</v>
      </c>
      <c r="K83" s="191">
        <v>0</v>
      </c>
      <c r="L83" s="191">
        <v>0</v>
      </c>
      <c r="M83" s="191">
        <v>0</v>
      </c>
      <c r="N83" s="191" t="s">
        <v>134</v>
      </c>
      <c r="O83" s="211" t="s">
        <v>212</v>
      </c>
      <c r="P83" s="191" t="s">
        <v>135</v>
      </c>
      <c r="Q83" s="191">
        <v>1</v>
      </c>
      <c r="R83" s="191">
        <v>0</v>
      </c>
      <c r="S83" s="191">
        <v>0</v>
      </c>
      <c r="T83" s="233" t="s">
        <v>218</v>
      </c>
      <c r="U83" s="230" t="s">
        <v>218</v>
      </c>
      <c r="V83" s="191">
        <v>1</v>
      </c>
      <c r="W83" s="191">
        <v>1</v>
      </c>
      <c r="X83" s="233" t="s">
        <v>218</v>
      </c>
      <c r="Y83" s="230" t="s">
        <v>218</v>
      </c>
      <c r="Z83" s="191">
        <v>0</v>
      </c>
      <c r="AA83" s="191" t="s">
        <v>134</v>
      </c>
      <c r="AB83" s="221" t="s">
        <v>130</v>
      </c>
      <c r="AC83" s="241"/>
      <c r="AE83" s="183" t="s">
        <v>183</v>
      </c>
      <c r="AG83" s="183" t="str">
        <f t="shared" si="2"/>
        <v xml:space="preserve">[1,x,x,x,x,1,0,0,0,0]-&gt;[1,0,0,x,x,1,1,x,x,0];   </v>
      </c>
    </row>
    <row r="84" spans="1:33" ht="15.75" hidden="1" thickBot="1" x14ac:dyDescent="0.3">
      <c r="A84" s="248"/>
      <c r="B84" s="191"/>
      <c r="C84" s="220" t="s">
        <v>135</v>
      </c>
      <c r="D84" s="289">
        <v>1</v>
      </c>
      <c r="E84" s="233" t="s">
        <v>218</v>
      </c>
      <c r="F84" s="214" t="s">
        <v>218</v>
      </c>
      <c r="G84" s="214" t="s">
        <v>218</v>
      </c>
      <c r="H84" s="214" t="s">
        <v>218</v>
      </c>
      <c r="I84" s="191">
        <v>1</v>
      </c>
      <c r="J84" s="191">
        <v>0</v>
      </c>
      <c r="K84" s="191">
        <v>0</v>
      </c>
      <c r="L84" s="191">
        <v>0</v>
      </c>
      <c r="M84" s="191">
        <v>1</v>
      </c>
      <c r="N84" s="191" t="s">
        <v>134</v>
      </c>
      <c r="O84" s="211" t="s">
        <v>212</v>
      </c>
      <c r="P84" s="191" t="s">
        <v>135</v>
      </c>
      <c r="Q84" s="191">
        <v>1</v>
      </c>
      <c r="R84" s="191">
        <v>0</v>
      </c>
      <c r="S84" s="191">
        <v>1</v>
      </c>
      <c r="T84" s="233" t="s">
        <v>218</v>
      </c>
      <c r="U84" s="230" t="s">
        <v>218</v>
      </c>
      <c r="V84" s="191">
        <v>1</v>
      </c>
      <c r="W84" s="191">
        <v>1</v>
      </c>
      <c r="X84" s="233" t="s">
        <v>218</v>
      </c>
      <c r="Y84" s="230" t="s">
        <v>218</v>
      </c>
      <c r="Z84" s="191">
        <v>0</v>
      </c>
      <c r="AA84" s="191" t="s">
        <v>134</v>
      </c>
      <c r="AB84" s="221" t="s">
        <v>130</v>
      </c>
      <c r="AC84" s="241"/>
      <c r="AG84" s="183" t="str">
        <f t="shared" si="2"/>
        <v xml:space="preserve">[1,x,x,x,x,1,0,0,0,1]-&gt;[1,0,1,x,x,1,1,x,x,0];   </v>
      </c>
    </row>
    <row r="85" spans="1:33" ht="15.75" hidden="1" thickBot="1" x14ac:dyDescent="0.3">
      <c r="A85" s="248"/>
      <c r="B85" s="191"/>
      <c r="C85" s="220" t="s">
        <v>135</v>
      </c>
      <c r="D85" s="289">
        <v>1</v>
      </c>
      <c r="E85" s="233" t="s">
        <v>218</v>
      </c>
      <c r="F85" s="214" t="s">
        <v>218</v>
      </c>
      <c r="G85" s="214" t="s">
        <v>218</v>
      </c>
      <c r="H85" s="214" t="s">
        <v>218</v>
      </c>
      <c r="I85" s="191">
        <v>1</v>
      </c>
      <c r="J85" s="191">
        <v>0</v>
      </c>
      <c r="K85" s="191">
        <v>0</v>
      </c>
      <c r="L85" s="191">
        <v>1</v>
      </c>
      <c r="M85" s="191">
        <v>0</v>
      </c>
      <c r="N85" s="191" t="s">
        <v>134</v>
      </c>
      <c r="O85" s="211" t="s">
        <v>212</v>
      </c>
      <c r="P85" s="191" t="s">
        <v>135</v>
      </c>
      <c r="Q85" s="191">
        <v>1</v>
      </c>
      <c r="R85" s="191">
        <v>1</v>
      </c>
      <c r="S85" s="191">
        <v>0</v>
      </c>
      <c r="T85" s="233" t="s">
        <v>218</v>
      </c>
      <c r="U85" s="230" t="s">
        <v>218</v>
      </c>
      <c r="V85" s="191">
        <v>1</v>
      </c>
      <c r="W85" s="191">
        <v>1</v>
      </c>
      <c r="X85" s="233" t="s">
        <v>218</v>
      </c>
      <c r="Y85" s="230" t="s">
        <v>218</v>
      </c>
      <c r="Z85" s="191">
        <v>0</v>
      </c>
      <c r="AA85" s="191" t="s">
        <v>134</v>
      </c>
      <c r="AB85" s="221" t="s">
        <v>130</v>
      </c>
      <c r="AC85" s="241"/>
      <c r="AE85" s="183" t="s">
        <v>181</v>
      </c>
      <c r="AG85" s="183" t="str">
        <f t="shared" si="2"/>
        <v xml:space="preserve">[1,x,x,x,x,1,0,0,1,0]-&gt;[1,1,0,x,x,1,1,x,x,0];   </v>
      </c>
    </row>
    <row r="86" spans="1:33" ht="15.75" hidden="1" thickBot="1" x14ac:dyDescent="0.3">
      <c r="A86" s="248"/>
      <c r="B86" s="191"/>
      <c r="C86" s="220" t="s">
        <v>135</v>
      </c>
      <c r="D86" s="289">
        <v>1</v>
      </c>
      <c r="E86" s="233" t="s">
        <v>218</v>
      </c>
      <c r="F86" s="214" t="s">
        <v>218</v>
      </c>
      <c r="G86" s="214" t="s">
        <v>218</v>
      </c>
      <c r="H86" s="214" t="s">
        <v>218</v>
      </c>
      <c r="I86" s="191">
        <v>1</v>
      </c>
      <c r="J86" s="191">
        <v>0</v>
      </c>
      <c r="K86" s="191">
        <v>0</v>
      </c>
      <c r="L86" s="191">
        <v>1</v>
      </c>
      <c r="M86" s="191">
        <v>1</v>
      </c>
      <c r="N86" s="191" t="s">
        <v>134</v>
      </c>
      <c r="O86" s="211" t="s">
        <v>212</v>
      </c>
      <c r="P86" s="191" t="s">
        <v>135</v>
      </c>
      <c r="Q86" s="191">
        <v>1</v>
      </c>
      <c r="R86" s="191">
        <v>1</v>
      </c>
      <c r="S86" s="191">
        <v>1</v>
      </c>
      <c r="T86" s="233" t="s">
        <v>218</v>
      </c>
      <c r="U86" s="230" t="s">
        <v>218</v>
      </c>
      <c r="V86" s="191">
        <v>1</v>
      </c>
      <c r="W86" s="191">
        <v>1</v>
      </c>
      <c r="X86" s="233" t="s">
        <v>218</v>
      </c>
      <c r="Y86" s="230" t="s">
        <v>218</v>
      </c>
      <c r="Z86" s="191">
        <v>0</v>
      </c>
      <c r="AA86" s="191" t="s">
        <v>134</v>
      </c>
      <c r="AB86" s="221" t="s">
        <v>130</v>
      </c>
      <c r="AC86" s="241"/>
      <c r="AG86" s="183" t="str">
        <f t="shared" si="2"/>
        <v xml:space="preserve">[1,x,x,x,x,1,0,0,1,1]-&gt;[1,1,1,x,x,1,1,x,x,0];   </v>
      </c>
    </row>
    <row r="87" spans="1:33" ht="15.75" hidden="1" thickBot="1" x14ac:dyDescent="0.3">
      <c r="A87" s="248"/>
      <c r="B87" s="191"/>
      <c r="C87" s="220" t="s">
        <v>135</v>
      </c>
      <c r="D87" s="289">
        <v>1</v>
      </c>
      <c r="E87" s="233" t="s">
        <v>218</v>
      </c>
      <c r="F87" s="214" t="s">
        <v>218</v>
      </c>
      <c r="G87" s="214" t="s">
        <v>218</v>
      </c>
      <c r="H87" s="214" t="s">
        <v>218</v>
      </c>
      <c r="I87" s="191">
        <v>1</v>
      </c>
      <c r="J87" s="191">
        <v>0</v>
      </c>
      <c r="K87" s="191">
        <v>1</v>
      </c>
      <c r="L87" s="191">
        <v>0</v>
      </c>
      <c r="M87" s="191">
        <v>0</v>
      </c>
      <c r="N87" s="191" t="s">
        <v>134</v>
      </c>
      <c r="O87" s="211" t="s">
        <v>212</v>
      </c>
      <c r="P87" s="191" t="s">
        <v>135</v>
      </c>
      <c r="Q87" s="191">
        <v>1</v>
      </c>
      <c r="R87" s="191">
        <v>0</v>
      </c>
      <c r="S87" s="191">
        <v>0</v>
      </c>
      <c r="T87" s="233" t="s">
        <v>218</v>
      </c>
      <c r="U87" s="230" t="s">
        <v>218</v>
      </c>
      <c r="V87" s="191">
        <v>1</v>
      </c>
      <c r="W87" s="191">
        <v>1</v>
      </c>
      <c r="X87" s="233" t="s">
        <v>218</v>
      </c>
      <c r="Y87" s="230" t="s">
        <v>218</v>
      </c>
      <c r="Z87" s="191">
        <v>0</v>
      </c>
      <c r="AA87" s="191" t="s">
        <v>134</v>
      </c>
      <c r="AB87" s="221" t="s">
        <v>130</v>
      </c>
      <c r="AC87" s="241"/>
      <c r="AE87" s="183" t="s">
        <v>178</v>
      </c>
      <c r="AG87" s="183" t="str">
        <f t="shared" si="2"/>
        <v xml:space="preserve">[1,x,x,x,x,1,0,1,0,0]-&gt;[1,0,0,x,x,1,1,x,x,0];   </v>
      </c>
    </row>
    <row r="88" spans="1:33" ht="15.75" hidden="1" thickBot="1" x14ac:dyDescent="0.3">
      <c r="A88" s="248"/>
      <c r="B88" s="191"/>
      <c r="C88" s="220" t="s">
        <v>135</v>
      </c>
      <c r="D88" s="289">
        <v>1</v>
      </c>
      <c r="E88" s="233" t="s">
        <v>218</v>
      </c>
      <c r="F88" s="214" t="s">
        <v>218</v>
      </c>
      <c r="G88" s="214" t="s">
        <v>218</v>
      </c>
      <c r="H88" s="214" t="s">
        <v>218</v>
      </c>
      <c r="I88" s="191">
        <v>1</v>
      </c>
      <c r="J88" s="191">
        <v>0</v>
      </c>
      <c r="K88" s="191">
        <v>1</v>
      </c>
      <c r="L88" s="191">
        <v>0</v>
      </c>
      <c r="M88" s="191">
        <v>1</v>
      </c>
      <c r="N88" s="191" t="s">
        <v>134</v>
      </c>
      <c r="O88" s="211" t="s">
        <v>212</v>
      </c>
      <c r="P88" s="191" t="s">
        <v>135</v>
      </c>
      <c r="Q88" s="191">
        <v>1</v>
      </c>
      <c r="R88" s="191">
        <v>0</v>
      </c>
      <c r="S88" s="191">
        <v>1</v>
      </c>
      <c r="T88" s="233" t="s">
        <v>218</v>
      </c>
      <c r="U88" s="230" t="s">
        <v>218</v>
      </c>
      <c r="V88" s="191">
        <v>1</v>
      </c>
      <c r="W88" s="191">
        <v>1</v>
      </c>
      <c r="X88" s="233" t="s">
        <v>218</v>
      </c>
      <c r="Y88" s="230" t="s">
        <v>218</v>
      </c>
      <c r="Z88" s="191">
        <v>0</v>
      </c>
      <c r="AA88" s="191" t="s">
        <v>134</v>
      </c>
      <c r="AB88" s="221" t="s">
        <v>130</v>
      </c>
      <c r="AC88" s="241"/>
      <c r="AG88" s="183" t="str">
        <f t="shared" si="2"/>
        <v xml:space="preserve">[1,x,x,x,x,1,0,1,0,1]-&gt;[1,0,1,x,x,1,1,x,x,0];   </v>
      </c>
    </row>
    <row r="89" spans="1:33" ht="15.75" hidden="1" thickBot="1" x14ac:dyDescent="0.3">
      <c r="A89" s="248"/>
      <c r="B89" s="191"/>
      <c r="C89" s="220" t="s">
        <v>135</v>
      </c>
      <c r="D89" s="289">
        <v>1</v>
      </c>
      <c r="E89" s="233" t="s">
        <v>218</v>
      </c>
      <c r="F89" s="214" t="s">
        <v>218</v>
      </c>
      <c r="G89" s="214" t="s">
        <v>218</v>
      </c>
      <c r="H89" s="214" t="s">
        <v>218</v>
      </c>
      <c r="I89" s="191">
        <v>1</v>
      </c>
      <c r="J89" s="191">
        <v>0</v>
      </c>
      <c r="K89" s="191">
        <v>1</v>
      </c>
      <c r="L89" s="191">
        <v>1</v>
      </c>
      <c r="M89" s="191">
        <v>0</v>
      </c>
      <c r="N89" s="191" t="s">
        <v>134</v>
      </c>
      <c r="O89" s="211" t="s">
        <v>212</v>
      </c>
      <c r="P89" s="191" t="s">
        <v>135</v>
      </c>
      <c r="Q89" s="191">
        <v>1</v>
      </c>
      <c r="R89" s="191">
        <v>1</v>
      </c>
      <c r="S89" s="191">
        <v>0</v>
      </c>
      <c r="T89" s="233" t="s">
        <v>218</v>
      </c>
      <c r="U89" s="230" t="s">
        <v>218</v>
      </c>
      <c r="V89" s="191">
        <v>1</v>
      </c>
      <c r="W89" s="191">
        <v>1</v>
      </c>
      <c r="X89" s="233" t="s">
        <v>218</v>
      </c>
      <c r="Y89" s="230" t="s">
        <v>218</v>
      </c>
      <c r="Z89" s="191">
        <v>0</v>
      </c>
      <c r="AA89" s="191" t="s">
        <v>134</v>
      </c>
      <c r="AB89" s="221" t="s">
        <v>130</v>
      </c>
      <c r="AC89" s="241"/>
      <c r="AE89" s="183" t="s">
        <v>176</v>
      </c>
      <c r="AG89" s="183" t="str">
        <f t="shared" si="2"/>
        <v xml:space="preserve">[1,x,x,x,x,1,0,1,1,0]-&gt;[1,1,0,x,x,1,1,x,x,0];   </v>
      </c>
    </row>
    <row r="90" spans="1:33" ht="15.75" hidden="1" thickBot="1" x14ac:dyDescent="0.3">
      <c r="A90" s="248"/>
      <c r="B90" s="191"/>
      <c r="C90" s="220" t="s">
        <v>135</v>
      </c>
      <c r="D90" s="289">
        <v>1</v>
      </c>
      <c r="E90" s="233" t="s">
        <v>218</v>
      </c>
      <c r="F90" s="214" t="s">
        <v>218</v>
      </c>
      <c r="G90" s="214" t="s">
        <v>218</v>
      </c>
      <c r="H90" s="214" t="s">
        <v>218</v>
      </c>
      <c r="I90" s="191">
        <v>1</v>
      </c>
      <c r="J90" s="191">
        <v>0</v>
      </c>
      <c r="K90" s="191">
        <v>1</v>
      </c>
      <c r="L90" s="191">
        <v>1</v>
      </c>
      <c r="M90" s="191">
        <v>1</v>
      </c>
      <c r="N90" s="191" t="s">
        <v>134</v>
      </c>
      <c r="O90" s="211" t="s">
        <v>212</v>
      </c>
      <c r="P90" s="191" t="s">
        <v>135</v>
      </c>
      <c r="Q90" s="191">
        <v>1</v>
      </c>
      <c r="R90" s="191">
        <v>1</v>
      </c>
      <c r="S90" s="191">
        <v>1</v>
      </c>
      <c r="T90" s="233" t="s">
        <v>218</v>
      </c>
      <c r="U90" s="230" t="s">
        <v>218</v>
      </c>
      <c r="V90" s="191">
        <v>1</v>
      </c>
      <c r="W90" s="191">
        <v>1</v>
      </c>
      <c r="X90" s="233" t="s">
        <v>218</v>
      </c>
      <c r="Y90" s="230" t="s">
        <v>218</v>
      </c>
      <c r="Z90" s="191">
        <v>0</v>
      </c>
      <c r="AA90" s="191" t="s">
        <v>134</v>
      </c>
      <c r="AB90" s="221" t="s">
        <v>130</v>
      </c>
      <c r="AC90" s="241"/>
      <c r="AG90" s="183" t="str">
        <f t="shared" si="2"/>
        <v xml:space="preserve">[1,x,x,x,x,1,0,1,1,1]-&gt;[1,1,1,x,x,1,1,x,x,0];   </v>
      </c>
    </row>
    <row r="91" spans="1:33" ht="15.75" hidden="1" thickBot="1" x14ac:dyDescent="0.3">
      <c r="A91" s="248"/>
      <c r="B91" s="191"/>
      <c r="C91" s="220" t="s">
        <v>135</v>
      </c>
      <c r="D91" s="289">
        <v>1</v>
      </c>
      <c r="E91" s="233" t="s">
        <v>218</v>
      </c>
      <c r="F91" s="214" t="s">
        <v>218</v>
      </c>
      <c r="G91" s="288">
        <v>1</v>
      </c>
      <c r="H91" s="294">
        <v>0</v>
      </c>
      <c r="I91" s="216">
        <v>1</v>
      </c>
      <c r="J91" s="217">
        <v>1</v>
      </c>
      <c r="K91" s="219">
        <v>0</v>
      </c>
      <c r="L91" s="191">
        <v>0</v>
      </c>
      <c r="M91" s="191">
        <v>0</v>
      </c>
      <c r="N91" s="191" t="s">
        <v>134</v>
      </c>
      <c r="O91" s="211" t="s">
        <v>212</v>
      </c>
      <c r="P91" s="191" t="s">
        <v>135</v>
      </c>
      <c r="Q91" s="191">
        <v>1</v>
      </c>
      <c r="R91" s="191">
        <v>0</v>
      </c>
      <c r="S91" s="191">
        <v>0</v>
      </c>
      <c r="T91" s="233" t="s">
        <v>218</v>
      </c>
      <c r="U91" s="230" t="s">
        <v>218</v>
      </c>
      <c r="V91" s="191">
        <v>1</v>
      </c>
      <c r="W91" s="191">
        <v>1</v>
      </c>
      <c r="X91" s="233" t="s">
        <v>218</v>
      </c>
      <c r="Y91" s="230" t="s">
        <v>218</v>
      </c>
      <c r="Z91" s="191">
        <v>0</v>
      </c>
      <c r="AA91" s="191" t="s">
        <v>134</v>
      </c>
      <c r="AB91" s="221" t="s">
        <v>130</v>
      </c>
      <c r="AC91" s="241" t="s">
        <v>216</v>
      </c>
      <c r="AD91" s="269" t="s">
        <v>217</v>
      </c>
      <c r="AE91" s="183" t="s">
        <v>172</v>
      </c>
      <c r="AG91" s="183" t="str">
        <f t="shared" si="2"/>
        <v>[1,x,x,1,0,1,1,0,0,0]-&gt;[1,0,0,x,x,1,1,x,x,0];   "Low-Rom auf dem Board</v>
      </c>
    </row>
    <row r="92" spans="1:33" ht="15.75" hidden="1" thickBot="1" x14ac:dyDescent="0.3">
      <c r="A92" s="248"/>
      <c r="B92" s="191"/>
      <c r="C92" s="220" t="s">
        <v>135</v>
      </c>
      <c r="D92" s="289">
        <v>1</v>
      </c>
      <c r="E92" s="233" t="s">
        <v>218</v>
      </c>
      <c r="F92" s="214" t="s">
        <v>218</v>
      </c>
      <c r="G92" s="289">
        <v>1</v>
      </c>
      <c r="H92" s="273">
        <v>0</v>
      </c>
      <c r="I92" s="220">
        <v>1</v>
      </c>
      <c r="J92" s="191">
        <v>1</v>
      </c>
      <c r="K92" s="221">
        <v>0</v>
      </c>
      <c r="L92" s="191">
        <v>0</v>
      </c>
      <c r="M92" s="191">
        <v>1</v>
      </c>
      <c r="N92" s="191" t="s">
        <v>134</v>
      </c>
      <c r="O92" s="211" t="s">
        <v>212</v>
      </c>
      <c r="P92" s="191" t="s">
        <v>135</v>
      </c>
      <c r="Q92" s="191">
        <v>1</v>
      </c>
      <c r="R92" s="191">
        <v>0</v>
      </c>
      <c r="S92" s="191">
        <v>1</v>
      </c>
      <c r="T92" s="233" t="s">
        <v>218</v>
      </c>
      <c r="U92" s="230" t="s">
        <v>218</v>
      </c>
      <c r="V92" s="191">
        <v>1</v>
      </c>
      <c r="W92" s="191">
        <v>1</v>
      </c>
      <c r="X92" s="233" t="s">
        <v>218</v>
      </c>
      <c r="Y92" s="230" t="s">
        <v>218</v>
      </c>
      <c r="Z92" s="191">
        <v>0</v>
      </c>
      <c r="AA92" s="191" t="s">
        <v>134</v>
      </c>
      <c r="AB92" s="221" t="s">
        <v>130</v>
      </c>
      <c r="AD92" s="251"/>
      <c r="AG92" s="183" t="str">
        <f t="shared" si="2"/>
        <v xml:space="preserve">[1,x,x,1,0,1,1,0,0,1]-&gt;[1,0,1,x,x,1,1,x,x,0];   </v>
      </c>
    </row>
    <row r="93" spans="1:33" ht="15.75" hidden="1" customHeight="1" x14ac:dyDescent="0.3">
      <c r="A93" s="248"/>
      <c r="B93" s="191"/>
      <c r="C93" s="220" t="s">
        <v>135</v>
      </c>
      <c r="D93" s="289">
        <v>1</v>
      </c>
      <c r="E93" s="233" t="s">
        <v>218</v>
      </c>
      <c r="F93" s="214" t="s">
        <v>218</v>
      </c>
      <c r="G93" s="289">
        <v>1</v>
      </c>
      <c r="H93" s="273">
        <v>0</v>
      </c>
      <c r="I93" s="220">
        <v>1</v>
      </c>
      <c r="J93" s="191">
        <v>1</v>
      </c>
      <c r="K93" s="221">
        <v>0</v>
      </c>
      <c r="L93" s="191">
        <v>1</v>
      </c>
      <c r="M93" s="191">
        <v>0</v>
      </c>
      <c r="N93" s="191" t="s">
        <v>134</v>
      </c>
      <c r="O93" s="211" t="s">
        <v>212</v>
      </c>
      <c r="P93" s="191" t="s">
        <v>135</v>
      </c>
      <c r="Q93" s="191">
        <v>1</v>
      </c>
      <c r="R93" s="191">
        <v>1</v>
      </c>
      <c r="S93" s="191">
        <v>0</v>
      </c>
      <c r="T93" s="233" t="s">
        <v>218</v>
      </c>
      <c r="U93" s="230" t="s">
        <v>218</v>
      </c>
      <c r="V93" s="191">
        <v>1</v>
      </c>
      <c r="W93" s="191">
        <v>1</v>
      </c>
      <c r="X93" s="233" t="s">
        <v>218</v>
      </c>
      <c r="Y93" s="230" t="s">
        <v>218</v>
      </c>
      <c r="Z93" s="191">
        <v>0</v>
      </c>
      <c r="AA93" s="191" t="s">
        <v>134</v>
      </c>
      <c r="AB93" s="221" t="s">
        <v>130</v>
      </c>
      <c r="AC93" s="241"/>
      <c r="AD93" s="251"/>
      <c r="AE93" s="183" t="s">
        <v>170</v>
      </c>
      <c r="AG93" s="183" t="str">
        <f t="shared" si="2"/>
        <v xml:space="preserve">[1,x,x,1,0,1,1,0,1,0]-&gt;[1,1,0,x,x,1,1,x,x,0];   </v>
      </c>
    </row>
    <row r="94" spans="1:33" ht="15.75" hidden="1" thickBot="1" x14ac:dyDescent="0.3">
      <c r="A94" s="248"/>
      <c r="B94" s="191"/>
      <c r="C94" s="220" t="s">
        <v>135</v>
      </c>
      <c r="D94" s="289">
        <v>1</v>
      </c>
      <c r="E94" s="233" t="s">
        <v>218</v>
      </c>
      <c r="F94" s="214" t="s">
        <v>218</v>
      </c>
      <c r="G94" s="289">
        <v>1</v>
      </c>
      <c r="H94" s="274">
        <v>0</v>
      </c>
      <c r="I94" s="222">
        <v>1</v>
      </c>
      <c r="J94" s="223">
        <v>1</v>
      </c>
      <c r="K94" s="225">
        <v>0</v>
      </c>
      <c r="L94" s="191">
        <v>1</v>
      </c>
      <c r="M94" s="191">
        <v>1</v>
      </c>
      <c r="N94" s="191" t="s">
        <v>134</v>
      </c>
      <c r="O94" s="211" t="s">
        <v>212</v>
      </c>
      <c r="P94" s="191" t="s">
        <v>135</v>
      </c>
      <c r="Q94" s="191">
        <v>1</v>
      </c>
      <c r="R94" s="191">
        <v>1</v>
      </c>
      <c r="S94" s="191">
        <v>1</v>
      </c>
      <c r="T94" s="233" t="s">
        <v>218</v>
      </c>
      <c r="U94" s="230" t="s">
        <v>218</v>
      </c>
      <c r="V94" s="191">
        <v>1</v>
      </c>
      <c r="W94" s="191">
        <v>1</v>
      </c>
      <c r="X94" s="233" t="s">
        <v>218</v>
      </c>
      <c r="Y94" s="230" t="s">
        <v>218</v>
      </c>
      <c r="Z94" s="191">
        <v>0</v>
      </c>
      <c r="AA94" s="191" t="s">
        <v>134</v>
      </c>
      <c r="AB94" s="221" t="s">
        <v>130</v>
      </c>
      <c r="AC94" s="241"/>
      <c r="AD94" s="252"/>
      <c r="AG94" s="183" t="str">
        <f t="shared" si="2"/>
        <v xml:space="preserve">[1,x,x,1,0,1,1,0,1,1]-&gt;[1,1,1,x,x,1,1,x,x,0];   </v>
      </c>
    </row>
    <row r="95" spans="1:33" ht="15.75" hidden="1" thickBot="1" x14ac:dyDescent="0.3">
      <c r="A95" s="248"/>
      <c r="B95" s="191"/>
      <c r="C95" s="220" t="s">
        <v>135</v>
      </c>
      <c r="D95" s="289">
        <v>1</v>
      </c>
      <c r="E95" s="233" t="s">
        <v>218</v>
      </c>
      <c r="F95" s="214" t="s">
        <v>218</v>
      </c>
      <c r="G95" s="289">
        <v>1</v>
      </c>
      <c r="H95" s="294">
        <v>0</v>
      </c>
      <c r="I95" s="216">
        <v>1</v>
      </c>
      <c r="J95" s="217">
        <v>1</v>
      </c>
      <c r="K95" s="219">
        <v>1</v>
      </c>
      <c r="L95" s="191">
        <v>0</v>
      </c>
      <c r="M95" s="191">
        <v>0</v>
      </c>
      <c r="N95" s="191" t="s">
        <v>134</v>
      </c>
      <c r="O95" s="211" t="s">
        <v>212</v>
      </c>
      <c r="P95" s="191" t="s">
        <v>135</v>
      </c>
      <c r="Q95" s="191">
        <v>1</v>
      </c>
      <c r="R95" s="191">
        <v>0</v>
      </c>
      <c r="S95" s="221">
        <v>0</v>
      </c>
      <c r="T95" s="233" t="s">
        <v>218</v>
      </c>
      <c r="U95" s="230" t="s">
        <v>218</v>
      </c>
      <c r="V95" s="191">
        <v>1</v>
      </c>
      <c r="W95" s="191">
        <v>1</v>
      </c>
      <c r="X95" s="233" t="s">
        <v>218</v>
      </c>
      <c r="Y95" s="230" t="s">
        <v>218</v>
      </c>
      <c r="Z95" s="191">
        <v>0</v>
      </c>
      <c r="AA95" s="191" t="s">
        <v>134</v>
      </c>
      <c r="AB95" s="221" t="s">
        <v>130</v>
      </c>
      <c r="AC95" s="241" t="s">
        <v>216</v>
      </c>
      <c r="AD95" s="269" t="s">
        <v>215</v>
      </c>
      <c r="AE95" s="183" t="s">
        <v>168</v>
      </c>
      <c r="AG95" s="183" t="str">
        <f t="shared" si="2"/>
        <v>[1,x,x,1,0,1,1,1,0,0]-&gt;[1,0,0,x,x,1,1,x,x,0];   "High-Rom auf dem Board</v>
      </c>
    </row>
    <row r="96" spans="1:33" ht="15.75" hidden="1" thickBot="1" x14ac:dyDescent="0.3">
      <c r="A96" s="248"/>
      <c r="B96" s="191"/>
      <c r="C96" s="220" t="s">
        <v>135</v>
      </c>
      <c r="D96" s="289">
        <v>1</v>
      </c>
      <c r="E96" s="233" t="s">
        <v>218</v>
      </c>
      <c r="F96" s="214" t="s">
        <v>218</v>
      </c>
      <c r="G96" s="289">
        <v>1</v>
      </c>
      <c r="H96" s="273">
        <v>0</v>
      </c>
      <c r="I96" s="220">
        <v>1</v>
      </c>
      <c r="J96" s="191">
        <v>1</v>
      </c>
      <c r="K96" s="221">
        <v>1</v>
      </c>
      <c r="L96" s="191">
        <v>0</v>
      </c>
      <c r="M96" s="191">
        <v>1</v>
      </c>
      <c r="N96" s="191" t="s">
        <v>134</v>
      </c>
      <c r="O96" s="211" t="s">
        <v>212</v>
      </c>
      <c r="P96" s="191" t="s">
        <v>135</v>
      </c>
      <c r="Q96" s="191">
        <v>1</v>
      </c>
      <c r="R96" s="191">
        <v>0</v>
      </c>
      <c r="S96" s="221">
        <v>1</v>
      </c>
      <c r="T96" s="233" t="s">
        <v>218</v>
      </c>
      <c r="U96" s="230" t="s">
        <v>218</v>
      </c>
      <c r="V96" s="191">
        <v>1</v>
      </c>
      <c r="W96" s="191">
        <v>1</v>
      </c>
      <c r="X96" s="233" t="s">
        <v>218</v>
      </c>
      <c r="Y96" s="230" t="s">
        <v>218</v>
      </c>
      <c r="Z96" s="191">
        <v>0</v>
      </c>
      <c r="AA96" s="191" t="s">
        <v>134</v>
      </c>
      <c r="AB96" s="221" t="s">
        <v>130</v>
      </c>
      <c r="AD96" s="251"/>
      <c r="AG96" s="183" t="str">
        <f t="shared" si="2"/>
        <v xml:space="preserve">[1,x,x,1,0,1,1,1,0,1]-&gt;[1,0,1,x,x,1,1,x,x,0];   </v>
      </c>
    </row>
    <row r="97" spans="1:33" ht="15.75" hidden="1" thickBot="1" x14ac:dyDescent="0.3">
      <c r="A97" s="248"/>
      <c r="B97" s="191"/>
      <c r="C97" s="220" t="s">
        <v>135</v>
      </c>
      <c r="D97" s="289">
        <v>1</v>
      </c>
      <c r="E97" s="233" t="s">
        <v>218</v>
      </c>
      <c r="F97" s="214" t="s">
        <v>218</v>
      </c>
      <c r="G97" s="289">
        <v>1</v>
      </c>
      <c r="H97" s="273">
        <v>0</v>
      </c>
      <c r="I97" s="220">
        <v>1</v>
      </c>
      <c r="J97" s="191">
        <v>1</v>
      </c>
      <c r="K97" s="221">
        <v>1</v>
      </c>
      <c r="L97" s="191">
        <v>1</v>
      </c>
      <c r="M97" s="191">
        <v>0</v>
      </c>
      <c r="N97" s="191" t="s">
        <v>134</v>
      </c>
      <c r="O97" s="211" t="s">
        <v>212</v>
      </c>
      <c r="P97" s="191" t="s">
        <v>135</v>
      </c>
      <c r="Q97" s="191">
        <v>1</v>
      </c>
      <c r="R97" s="191">
        <v>1</v>
      </c>
      <c r="S97" s="221">
        <v>0</v>
      </c>
      <c r="T97" s="233" t="s">
        <v>218</v>
      </c>
      <c r="U97" s="230" t="s">
        <v>218</v>
      </c>
      <c r="V97" s="191">
        <v>1</v>
      </c>
      <c r="W97" s="191">
        <v>1</v>
      </c>
      <c r="X97" s="233" t="s">
        <v>218</v>
      </c>
      <c r="Y97" s="230" t="s">
        <v>218</v>
      </c>
      <c r="Z97" s="191">
        <v>0</v>
      </c>
      <c r="AA97" s="191" t="s">
        <v>134</v>
      </c>
      <c r="AB97" s="221" t="s">
        <v>130</v>
      </c>
      <c r="AC97" s="241"/>
      <c r="AD97" s="251"/>
      <c r="AE97" s="183" t="s">
        <v>166</v>
      </c>
      <c r="AG97" s="183" t="str">
        <f t="shared" si="2"/>
        <v xml:space="preserve">[1,x,x,1,0,1,1,1,1,0]-&gt;[1,1,0,x,x,1,1,x,x,0];   </v>
      </c>
    </row>
    <row r="98" spans="1:33" ht="15.75" hidden="1" thickBot="1" x14ac:dyDescent="0.3">
      <c r="A98" s="248"/>
      <c r="B98" s="191"/>
      <c r="C98" s="220" t="s">
        <v>135</v>
      </c>
      <c r="D98" s="290">
        <v>1</v>
      </c>
      <c r="E98" s="234" t="s">
        <v>218</v>
      </c>
      <c r="F98" s="229" t="s">
        <v>218</v>
      </c>
      <c r="G98" s="290">
        <v>1</v>
      </c>
      <c r="H98" s="274">
        <v>0</v>
      </c>
      <c r="I98" s="222">
        <v>1</v>
      </c>
      <c r="J98" s="223">
        <v>1</v>
      </c>
      <c r="K98" s="225">
        <v>1</v>
      </c>
      <c r="L98" s="223">
        <v>1</v>
      </c>
      <c r="M98" s="223">
        <v>1</v>
      </c>
      <c r="N98" s="223" t="s">
        <v>134</v>
      </c>
      <c r="O98" s="224" t="s">
        <v>212</v>
      </c>
      <c r="P98" s="223" t="s">
        <v>135</v>
      </c>
      <c r="Q98" s="223">
        <v>1</v>
      </c>
      <c r="R98" s="223">
        <v>1</v>
      </c>
      <c r="S98" s="225">
        <v>1</v>
      </c>
      <c r="T98" s="234" t="s">
        <v>218</v>
      </c>
      <c r="U98" s="231" t="s">
        <v>218</v>
      </c>
      <c r="V98" s="223">
        <v>1</v>
      </c>
      <c r="W98" s="223">
        <v>1</v>
      </c>
      <c r="X98" s="234" t="s">
        <v>218</v>
      </c>
      <c r="Y98" s="231" t="s">
        <v>218</v>
      </c>
      <c r="Z98" s="223">
        <v>0</v>
      </c>
      <c r="AA98" s="223" t="s">
        <v>134</v>
      </c>
      <c r="AB98" s="225" t="s">
        <v>130</v>
      </c>
      <c r="AC98" s="241"/>
      <c r="AD98" s="252"/>
      <c r="AG98" s="183" t="str">
        <f t="shared" si="2"/>
        <v xml:space="preserve">[1,x,x,1,0,1,1,1,1,1]-&gt;[1,1,1,x,x,1,1,x,x,0];   </v>
      </c>
    </row>
    <row r="99" spans="1:33" ht="15.75" hidden="1" thickBot="1" x14ac:dyDescent="0.3">
      <c r="A99" s="248"/>
      <c r="B99" s="191"/>
      <c r="C99" s="216" t="s">
        <v>135</v>
      </c>
      <c r="D99" s="289">
        <v>1</v>
      </c>
      <c r="E99" s="232" t="s">
        <v>218</v>
      </c>
      <c r="F99" s="228" t="s">
        <v>218</v>
      </c>
      <c r="G99" s="295">
        <v>1</v>
      </c>
      <c r="H99" s="214" t="s">
        <v>218</v>
      </c>
      <c r="I99" s="217">
        <v>0</v>
      </c>
      <c r="J99" s="217">
        <v>0</v>
      </c>
      <c r="K99" s="217">
        <v>0</v>
      </c>
      <c r="L99" s="217">
        <v>0</v>
      </c>
      <c r="M99" s="217">
        <v>0</v>
      </c>
      <c r="N99" s="217" t="s">
        <v>134</v>
      </c>
      <c r="O99" s="218" t="s">
        <v>212</v>
      </c>
      <c r="P99" s="217" t="s">
        <v>135</v>
      </c>
      <c r="Q99" s="191">
        <v>0</v>
      </c>
      <c r="R99" s="217">
        <v>0</v>
      </c>
      <c r="S99" s="217">
        <v>0</v>
      </c>
      <c r="T99" s="232" t="s">
        <v>218</v>
      </c>
      <c r="U99" s="270" t="s">
        <v>218</v>
      </c>
      <c r="V99" s="217">
        <v>1</v>
      </c>
      <c r="W99" s="217">
        <v>1</v>
      </c>
      <c r="X99" s="232" t="s">
        <v>218</v>
      </c>
      <c r="Y99" s="270" t="s">
        <v>218</v>
      </c>
      <c r="Z99" s="217">
        <v>0</v>
      </c>
      <c r="AA99" s="217" t="s">
        <v>134</v>
      </c>
      <c r="AB99" s="219" t="s">
        <v>130</v>
      </c>
      <c r="AC99" s="242" t="s">
        <v>216</v>
      </c>
      <c r="AD99" s="307" t="s">
        <v>278</v>
      </c>
      <c r="AE99" s="241" t="s">
        <v>208</v>
      </c>
      <c r="AG99" s="183" t="str">
        <f t="shared" si="2"/>
        <v>[1,x,x,1,x,0,0,0,0,0]-&gt;[0,0,0,x,x,1,1,x,x,0];   "ProfDos aus, RAM onboard, LoRom org, HiRom alt</v>
      </c>
    </row>
    <row r="100" spans="1:33" ht="15.75" hidden="1" thickBot="1" x14ac:dyDescent="0.3">
      <c r="A100" s="248"/>
      <c r="B100" s="191"/>
      <c r="C100" s="220" t="s">
        <v>135</v>
      </c>
      <c r="D100" s="287" t="s">
        <v>218</v>
      </c>
      <c r="E100" s="233" t="s">
        <v>218</v>
      </c>
      <c r="F100" s="214" t="s">
        <v>218</v>
      </c>
      <c r="G100" s="230" t="s">
        <v>218</v>
      </c>
      <c r="H100" s="214" t="s">
        <v>218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212</v>
      </c>
      <c r="P100" s="191" t="s">
        <v>135</v>
      </c>
      <c r="Q100" s="191">
        <v>0</v>
      </c>
      <c r="R100" s="191">
        <v>0</v>
      </c>
      <c r="S100" s="191">
        <v>1</v>
      </c>
      <c r="T100" s="233" t="s">
        <v>218</v>
      </c>
      <c r="U100" s="230" t="s">
        <v>218</v>
      </c>
      <c r="V100" s="191">
        <v>1</v>
      </c>
      <c r="W100" s="191">
        <v>1</v>
      </c>
      <c r="X100" s="233" t="s">
        <v>218</v>
      </c>
      <c r="Y100" s="230" t="s">
        <v>218</v>
      </c>
      <c r="Z100" s="191">
        <v>0</v>
      </c>
      <c r="AA100" s="191" t="s">
        <v>134</v>
      </c>
      <c r="AB100" s="221" t="s">
        <v>130</v>
      </c>
      <c r="AC100" s="242" t="s">
        <v>216</v>
      </c>
      <c r="AD100" s="213" t="s">
        <v>277</v>
      </c>
      <c r="AG100" s="183" t="str">
        <f t="shared" ref="AG100:AG131" si="3">C100&amp;D100&amp;","&amp;E100&amp;","&amp;F100&amp;","&amp;G100&amp;","&amp;H100&amp;","&amp;I100&amp;","&amp;J100&amp;","&amp;K100&amp;","&amp;L100&amp;","&amp;M100&amp;N100&amp;O100&amp;P100&amp;Q100&amp;","&amp;R100&amp;","&amp;S100&amp;","&amp;T100&amp;","&amp;U100&amp;","&amp;V100&amp;","&amp;W100&amp;","&amp;X100&amp;","&amp;Y100&amp;","&amp;Z100&amp;AA100&amp;AB100&amp;"   "&amp;AC100&amp;AD100</f>
        <v>[x,x,x,x,x,0,0,0,0,1]-&gt;[0,0,1,x,x,1,1,x,x,0];   "Speeddos</v>
      </c>
    </row>
    <row r="101" spans="1:33" ht="15.75" hidden="1" thickBot="1" x14ac:dyDescent="0.3">
      <c r="A101" s="248"/>
      <c r="B101" s="191"/>
      <c r="C101" s="220" t="s">
        <v>135</v>
      </c>
      <c r="D101" s="287" t="s">
        <v>218</v>
      </c>
      <c r="E101" s="233" t="s">
        <v>218</v>
      </c>
      <c r="F101" s="214" t="s">
        <v>218</v>
      </c>
      <c r="G101" s="230" t="s">
        <v>218</v>
      </c>
      <c r="H101" s="214" t="s">
        <v>218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212</v>
      </c>
      <c r="P101" s="191" t="s">
        <v>135</v>
      </c>
      <c r="Q101" s="191">
        <v>0</v>
      </c>
      <c r="R101" s="191">
        <v>1</v>
      </c>
      <c r="S101" s="191">
        <v>0</v>
      </c>
      <c r="T101" s="233" t="s">
        <v>218</v>
      </c>
      <c r="U101" s="230" t="s">
        <v>218</v>
      </c>
      <c r="V101" s="191">
        <v>1</v>
      </c>
      <c r="W101" s="191">
        <v>1</v>
      </c>
      <c r="X101" s="233" t="s">
        <v>218</v>
      </c>
      <c r="Y101" s="230" t="s">
        <v>218</v>
      </c>
      <c r="Z101" s="191">
        <v>0</v>
      </c>
      <c r="AA101" s="191" t="s">
        <v>134</v>
      </c>
      <c r="AB101" s="221" t="s">
        <v>130</v>
      </c>
      <c r="AC101" s="241"/>
      <c r="AE101" s="183" t="s">
        <v>206</v>
      </c>
      <c r="AG101" s="183" t="str">
        <f t="shared" si="3"/>
        <v xml:space="preserve">[x,x,x,x,x,0,0,0,1,0]-&gt;[0,1,0,x,x,1,1,x,x,0];   </v>
      </c>
    </row>
    <row r="102" spans="1:33" ht="15.75" hidden="1" thickBot="1" x14ac:dyDescent="0.3">
      <c r="A102" s="248"/>
      <c r="B102" s="191"/>
      <c r="C102" s="220" t="s">
        <v>135</v>
      </c>
      <c r="D102" s="287" t="s">
        <v>218</v>
      </c>
      <c r="E102" s="233" t="s">
        <v>218</v>
      </c>
      <c r="F102" s="214" t="s">
        <v>218</v>
      </c>
      <c r="G102" s="230" t="s">
        <v>218</v>
      </c>
      <c r="H102" s="214" t="s">
        <v>218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212</v>
      </c>
      <c r="P102" s="191" t="s">
        <v>135</v>
      </c>
      <c r="Q102" s="191">
        <v>0</v>
      </c>
      <c r="R102" s="191">
        <v>1</v>
      </c>
      <c r="S102" s="191">
        <v>1</v>
      </c>
      <c r="T102" s="233" t="s">
        <v>218</v>
      </c>
      <c r="U102" s="230" t="s">
        <v>218</v>
      </c>
      <c r="V102" s="191">
        <v>1</v>
      </c>
      <c r="W102" s="191">
        <v>1</v>
      </c>
      <c r="X102" s="233" t="s">
        <v>218</v>
      </c>
      <c r="Y102" s="230" t="s">
        <v>218</v>
      </c>
      <c r="Z102" s="191">
        <v>0</v>
      </c>
      <c r="AA102" s="191" t="s">
        <v>134</v>
      </c>
      <c r="AB102" s="221" t="s">
        <v>130</v>
      </c>
      <c r="AC102" s="241"/>
      <c r="AG102" s="183" t="str">
        <f t="shared" si="3"/>
        <v xml:space="preserve">[x,x,x,x,x,0,0,0,1,1]-&gt;[0,1,1,x,x,1,1,x,x,0];   </v>
      </c>
    </row>
    <row r="103" spans="1:33" ht="15.75" hidden="1" thickBot="1" x14ac:dyDescent="0.3">
      <c r="A103" s="248"/>
      <c r="B103" s="191"/>
      <c r="C103" s="220" t="s">
        <v>135</v>
      </c>
      <c r="D103" s="287" t="s">
        <v>218</v>
      </c>
      <c r="E103" s="233" t="s">
        <v>218</v>
      </c>
      <c r="F103" s="214" t="s">
        <v>218</v>
      </c>
      <c r="G103" s="230" t="s">
        <v>218</v>
      </c>
      <c r="H103" s="214" t="s">
        <v>218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212</v>
      </c>
      <c r="P103" s="191" t="s">
        <v>135</v>
      </c>
      <c r="Q103" s="191">
        <v>0</v>
      </c>
      <c r="R103" s="191">
        <v>0</v>
      </c>
      <c r="S103" s="191">
        <v>0</v>
      </c>
      <c r="T103" s="233" t="s">
        <v>218</v>
      </c>
      <c r="U103" s="230" t="s">
        <v>218</v>
      </c>
      <c r="V103" s="191">
        <v>1</v>
      </c>
      <c r="W103" s="191">
        <v>1</v>
      </c>
      <c r="X103" s="233" t="s">
        <v>218</v>
      </c>
      <c r="Y103" s="230" t="s">
        <v>218</v>
      </c>
      <c r="Z103" s="191">
        <v>0</v>
      </c>
      <c r="AA103" s="191" t="s">
        <v>134</v>
      </c>
      <c r="AB103" s="221" t="s">
        <v>130</v>
      </c>
      <c r="AC103" s="241"/>
      <c r="AE103" s="183" t="s">
        <v>201</v>
      </c>
      <c r="AG103" s="183" t="str">
        <f t="shared" si="3"/>
        <v xml:space="preserve">[x,x,x,x,x,0,0,1,0,0]-&gt;[0,0,0,x,x,1,1,x,x,0];   </v>
      </c>
    </row>
    <row r="104" spans="1:33" ht="15.75" hidden="1" thickBot="1" x14ac:dyDescent="0.3">
      <c r="A104" s="248"/>
      <c r="B104" s="191"/>
      <c r="C104" s="220" t="s">
        <v>135</v>
      </c>
      <c r="D104" s="287" t="s">
        <v>218</v>
      </c>
      <c r="E104" s="233" t="s">
        <v>218</v>
      </c>
      <c r="F104" s="214" t="s">
        <v>218</v>
      </c>
      <c r="G104" s="230" t="s">
        <v>218</v>
      </c>
      <c r="H104" s="214" t="s">
        <v>218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212</v>
      </c>
      <c r="P104" s="191" t="s">
        <v>135</v>
      </c>
      <c r="Q104" s="191">
        <v>0</v>
      </c>
      <c r="R104" s="191">
        <v>0</v>
      </c>
      <c r="S104" s="191">
        <v>1</v>
      </c>
      <c r="T104" s="233" t="s">
        <v>218</v>
      </c>
      <c r="U104" s="230" t="s">
        <v>218</v>
      </c>
      <c r="V104" s="191">
        <v>1</v>
      </c>
      <c r="W104" s="191">
        <v>1</v>
      </c>
      <c r="X104" s="233" t="s">
        <v>218</v>
      </c>
      <c r="Y104" s="230" t="s">
        <v>218</v>
      </c>
      <c r="Z104" s="191">
        <v>0</v>
      </c>
      <c r="AA104" s="191" t="s">
        <v>134</v>
      </c>
      <c r="AB104" s="221" t="s">
        <v>130</v>
      </c>
      <c r="AC104" s="241"/>
      <c r="AG104" s="183" t="str">
        <f t="shared" si="3"/>
        <v xml:space="preserve">[x,x,x,x,x,0,0,1,0,1]-&gt;[0,0,1,x,x,1,1,x,x,0];   </v>
      </c>
    </row>
    <row r="105" spans="1:33" ht="15.75" hidden="1" thickBot="1" x14ac:dyDescent="0.3">
      <c r="A105" s="248"/>
      <c r="B105" s="191"/>
      <c r="C105" s="220" t="s">
        <v>135</v>
      </c>
      <c r="D105" s="287" t="s">
        <v>218</v>
      </c>
      <c r="E105" s="233" t="s">
        <v>218</v>
      </c>
      <c r="F105" s="214" t="s">
        <v>218</v>
      </c>
      <c r="G105" s="230" t="s">
        <v>218</v>
      </c>
      <c r="H105" s="214" t="s">
        <v>218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212</v>
      </c>
      <c r="P105" s="191" t="s">
        <v>135</v>
      </c>
      <c r="Q105" s="191">
        <v>0</v>
      </c>
      <c r="R105" s="191">
        <v>1</v>
      </c>
      <c r="S105" s="191">
        <v>0</v>
      </c>
      <c r="T105" s="233" t="s">
        <v>218</v>
      </c>
      <c r="U105" s="230" t="s">
        <v>218</v>
      </c>
      <c r="V105" s="191">
        <v>1</v>
      </c>
      <c r="W105" s="191">
        <v>1</v>
      </c>
      <c r="X105" s="233" t="s">
        <v>218</v>
      </c>
      <c r="Y105" s="230" t="s">
        <v>218</v>
      </c>
      <c r="Z105" s="191">
        <v>0</v>
      </c>
      <c r="AA105" s="191" t="s">
        <v>134</v>
      </c>
      <c r="AB105" s="221" t="s">
        <v>130</v>
      </c>
      <c r="AC105" s="241"/>
      <c r="AE105" s="183" t="s">
        <v>199</v>
      </c>
      <c r="AG105" s="183" t="str">
        <f t="shared" si="3"/>
        <v xml:space="preserve">[x,x,x,x,x,0,0,1,1,0]-&gt;[0,1,0,x,x,1,1,x,x,0];   </v>
      </c>
    </row>
    <row r="106" spans="1:33" ht="15.75" hidden="1" thickBot="1" x14ac:dyDescent="0.3">
      <c r="A106" s="248"/>
      <c r="B106" s="191"/>
      <c r="C106" s="220" t="s">
        <v>135</v>
      </c>
      <c r="D106" s="287" t="s">
        <v>218</v>
      </c>
      <c r="E106" s="233" t="s">
        <v>218</v>
      </c>
      <c r="F106" s="214" t="s">
        <v>218</v>
      </c>
      <c r="G106" s="230" t="s">
        <v>218</v>
      </c>
      <c r="H106" s="214" t="s">
        <v>218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212</v>
      </c>
      <c r="P106" s="191" t="s">
        <v>135</v>
      </c>
      <c r="Q106" s="191">
        <v>0</v>
      </c>
      <c r="R106" s="191">
        <v>1</v>
      </c>
      <c r="S106" s="191">
        <v>1</v>
      </c>
      <c r="T106" s="233" t="s">
        <v>218</v>
      </c>
      <c r="U106" s="230" t="s">
        <v>218</v>
      </c>
      <c r="V106" s="191">
        <v>1</v>
      </c>
      <c r="W106" s="191">
        <v>1</v>
      </c>
      <c r="X106" s="233" t="s">
        <v>218</v>
      </c>
      <c r="Y106" s="230" t="s">
        <v>218</v>
      </c>
      <c r="Z106" s="191">
        <v>0</v>
      </c>
      <c r="AA106" s="191" t="s">
        <v>134</v>
      </c>
      <c r="AB106" s="221" t="s">
        <v>130</v>
      </c>
      <c r="AC106" s="241"/>
      <c r="AG106" s="183" t="str">
        <f t="shared" si="3"/>
        <v xml:space="preserve">[x,x,x,x,x,0,0,1,1,1]-&gt;[0,1,1,x,x,1,1,x,x,0];   </v>
      </c>
    </row>
    <row r="107" spans="1:33" ht="15.75" hidden="1" thickBot="1" x14ac:dyDescent="0.3">
      <c r="A107" s="248"/>
      <c r="B107" s="191"/>
      <c r="C107" s="220" t="s">
        <v>135</v>
      </c>
      <c r="D107" s="288">
        <v>1</v>
      </c>
      <c r="E107" s="233" t="s">
        <v>218</v>
      </c>
      <c r="F107" s="214" t="s">
        <v>218</v>
      </c>
      <c r="G107" s="288">
        <v>1</v>
      </c>
      <c r="H107" s="214" t="s">
        <v>218</v>
      </c>
      <c r="I107" s="191">
        <v>0</v>
      </c>
      <c r="J107" s="191">
        <v>1</v>
      </c>
      <c r="K107" s="191">
        <v>0</v>
      </c>
      <c r="L107" s="191">
        <v>0</v>
      </c>
      <c r="M107" s="191">
        <v>0</v>
      </c>
      <c r="N107" s="191" t="s">
        <v>134</v>
      </c>
      <c r="O107" s="211" t="s">
        <v>212</v>
      </c>
      <c r="P107" s="191" t="s">
        <v>135</v>
      </c>
      <c r="Q107" s="191">
        <v>0</v>
      </c>
      <c r="R107" s="191">
        <v>0</v>
      </c>
      <c r="S107" s="191">
        <v>0</v>
      </c>
      <c r="T107" s="233" t="s">
        <v>218</v>
      </c>
      <c r="U107" s="230" t="s">
        <v>218</v>
      </c>
      <c r="V107" s="191">
        <v>1</v>
      </c>
      <c r="W107" s="191">
        <v>1</v>
      </c>
      <c r="X107" s="233" t="s">
        <v>218</v>
      </c>
      <c r="Y107" s="230" t="s">
        <v>218</v>
      </c>
      <c r="Z107" s="191">
        <v>0</v>
      </c>
      <c r="AA107" s="191" t="s">
        <v>134</v>
      </c>
      <c r="AB107" s="221" t="s">
        <v>130</v>
      </c>
      <c r="AC107" s="241"/>
      <c r="AE107" s="183" t="s">
        <v>196</v>
      </c>
      <c r="AG107" s="183" t="str">
        <f t="shared" si="3"/>
        <v xml:space="preserve">[1,x,x,1,x,0,1,0,0,0]-&gt;[0,0,0,x,x,1,1,x,x,0];   </v>
      </c>
    </row>
    <row r="108" spans="1:33" ht="15.75" hidden="1" thickBot="1" x14ac:dyDescent="0.3">
      <c r="A108" s="248"/>
      <c r="B108" s="191"/>
      <c r="C108" s="220" t="s">
        <v>135</v>
      </c>
      <c r="D108" s="289">
        <v>1</v>
      </c>
      <c r="E108" s="233" t="s">
        <v>218</v>
      </c>
      <c r="F108" s="214" t="s">
        <v>218</v>
      </c>
      <c r="G108" s="289">
        <v>1</v>
      </c>
      <c r="H108" s="214" t="s">
        <v>218</v>
      </c>
      <c r="I108" s="191">
        <v>0</v>
      </c>
      <c r="J108" s="191">
        <v>1</v>
      </c>
      <c r="K108" s="191">
        <v>0</v>
      </c>
      <c r="L108" s="191">
        <v>0</v>
      </c>
      <c r="M108" s="191">
        <v>1</v>
      </c>
      <c r="N108" s="191" t="s">
        <v>134</v>
      </c>
      <c r="O108" s="211" t="s">
        <v>212</v>
      </c>
      <c r="P108" s="191" t="s">
        <v>135</v>
      </c>
      <c r="Q108" s="191">
        <v>0</v>
      </c>
      <c r="R108" s="191">
        <v>0</v>
      </c>
      <c r="S108" s="191">
        <v>1</v>
      </c>
      <c r="T108" s="233" t="s">
        <v>218</v>
      </c>
      <c r="U108" s="230" t="s">
        <v>218</v>
      </c>
      <c r="V108" s="191">
        <v>1</v>
      </c>
      <c r="W108" s="191">
        <v>1</v>
      </c>
      <c r="X108" s="233" t="s">
        <v>218</v>
      </c>
      <c r="Y108" s="230" t="s">
        <v>218</v>
      </c>
      <c r="Z108" s="191">
        <v>0</v>
      </c>
      <c r="AA108" s="191" t="s">
        <v>134</v>
      </c>
      <c r="AB108" s="221" t="s">
        <v>130</v>
      </c>
      <c r="AC108" s="241"/>
      <c r="AG108" s="183" t="str">
        <f t="shared" si="3"/>
        <v xml:space="preserve">[1,x,x,1,x,0,1,0,0,1]-&gt;[0,0,1,x,x,1,1,x,x,0];   </v>
      </c>
    </row>
    <row r="109" spans="1:33" ht="15.75" hidden="1" thickBot="1" x14ac:dyDescent="0.3">
      <c r="A109" s="248"/>
      <c r="B109" s="191"/>
      <c r="C109" s="220" t="s">
        <v>135</v>
      </c>
      <c r="D109" s="289">
        <v>1</v>
      </c>
      <c r="E109" s="233" t="s">
        <v>218</v>
      </c>
      <c r="F109" s="214" t="s">
        <v>218</v>
      </c>
      <c r="G109" s="289">
        <v>1</v>
      </c>
      <c r="H109" s="214" t="s">
        <v>218</v>
      </c>
      <c r="I109" s="191">
        <v>0</v>
      </c>
      <c r="J109" s="191">
        <v>1</v>
      </c>
      <c r="K109" s="191">
        <v>0</v>
      </c>
      <c r="L109" s="191">
        <v>1</v>
      </c>
      <c r="M109" s="191">
        <v>0</v>
      </c>
      <c r="N109" s="191" t="s">
        <v>134</v>
      </c>
      <c r="O109" s="211" t="s">
        <v>212</v>
      </c>
      <c r="P109" s="191" t="s">
        <v>135</v>
      </c>
      <c r="Q109" s="191">
        <v>0</v>
      </c>
      <c r="R109" s="191">
        <v>1</v>
      </c>
      <c r="S109" s="191">
        <v>0</v>
      </c>
      <c r="T109" s="233" t="s">
        <v>218</v>
      </c>
      <c r="U109" s="230" t="s">
        <v>218</v>
      </c>
      <c r="V109" s="191">
        <v>1</v>
      </c>
      <c r="W109" s="191">
        <v>1</v>
      </c>
      <c r="X109" s="233" t="s">
        <v>218</v>
      </c>
      <c r="Y109" s="230" t="s">
        <v>218</v>
      </c>
      <c r="Z109" s="191">
        <v>0</v>
      </c>
      <c r="AA109" s="191" t="s">
        <v>134</v>
      </c>
      <c r="AB109" s="221" t="s">
        <v>130</v>
      </c>
      <c r="AC109" s="241"/>
      <c r="AE109" s="183" t="s">
        <v>194</v>
      </c>
      <c r="AG109" s="183" t="str">
        <f t="shared" si="3"/>
        <v xml:space="preserve">[1,x,x,1,x,0,1,0,1,0]-&gt;[0,1,0,x,x,1,1,x,x,0];   </v>
      </c>
    </row>
    <row r="110" spans="1:33" ht="15.75" hidden="1" thickBot="1" x14ac:dyDescent="0.3">
      <c r="A110" s="248"/>
      <c r="B110" s="191"/>
      <c r="C110" s="220" t="s">
        <v>135</v>
      </c>
      <c r="D110" s="289">
        <v>1</v>
      </c>
      <c r="E110" s="233" t="s">
        <v>218</v>
      </c>
      <c r="F110" s="214" t="s">
        <v>218</v>
      </c>
      <c r="G110" s="289">
        <v>1</v>
      </c>
      <c r="H110" s="214" t="s">
        <v>218</v>
      </c>
      <c r="I110" s="191">
        <v>0</v>
      </c>
      <c r="J110" s="191">
        <v>1</v>
      </c>
      <c r="K110" s="191">
        <v>0</v>
      </c>
      <c r="L110" s="191">
        <v>1</v>
      </c>
      <c r="M110" s="191">
        <v>1</v>
      </c>
      <c r="N110" s="191" t="s">
        <v>134</v>
      </c>
      <c r="O110" s="211" t="s">
        <v>212</v>
      </c>
      <c r="P110" s="191" t="s">
        <v>135</v>
      </c>
      <c r="Q110" s="191">
        <v>0</v>
      </c>
      <c r="R110" s="191">
        <v>1</v>
      </c>
      <c r="S110" s="191">
        <v>1</v>
      </c>
      <c r="T110" s="233" t="s">
        <v>218</v>
      </c>
      <c r="U110" s="230" t="s">
        <v>218</v>
      </c>
      <c r="V110" s="191">
        <v>1</v>
      </c>
      <c r="W110" s="191">
        <v>1</v>
      </c>
      <c r="X110" s="233" t="s">
        <v>218</v>
      </c>
      <c r="Y110" s="230" t="s">
        <v>218</v>
      </c>
      <c r="Z110" s="191">
        <v>0</v>
      </c>
      <c r="AA110" s="191" t="s">
        <v>134</v>
      </c>
      <c r="AB110" s="221" t="s">
        <v>130</v>
      </c>
      <c r="AC110" s="241"/>
      <c r="AG110" s="183" t="str">
        <f t="shared" si="3"/>
        <v xml:space="preserve">[1,x,x,1,x,0,1,0,1,1]-&gt;[0,1,1,x,x,1,1,x,x,0];   </v>
      </c>
    </row>
    <row r="111" spans="1:33" ht="15.75" hidden="1" thickBot="1" x14ac:dyDescent="0.3">
      <c r="A111" s="248"/>
      <c r="B111" s="191"/>
      <c r="C111" s="220" t="s">
        <v>135</v>
      </c>
      <c r="D111" s="289">
        <v>1</v>
      </c>
      <c r="E111" s="233" t="s">
        <v>218</v>
      </c>
      <c r="F111" s="214" t="s">
        <v>218</v>
      </c>
      <c r="G111" s="289">
        <v>1</v>
      </c>
      <c r="H111" s="214" t="s">
        <v>218</v>
      </c>
      <c r="I111" s="191">
        <v>0</v>
      </c>
      <c r="J111" s="191">
        <v>1</v>
      </c>
      <c r="K111" s="191">
        <v>1</v>
      </c>
      <c r="L111" s="191">
        <v>0</v>
      </c>
      <c r="M111" s="191">
        <v>0</v>
      </c>
      <c r="N111" s="191" t="s">
        <v>134</v>
      </c>
      <c r="O111" s="211" t="s">
        <v>212</v>
      </c>
      <c r="P111" s="191" t="s">
        <v>135</v>
      </c>
      <c r="Q111" s="191">
        <v>0</v>
      </c>
      <c r="R111" s="191">
        <v>0</v>
      </c>
      <c r="S111" s="191">
        <v>0</v>
      </c>
      <c r="T111" s="233" t="s">
        <v>218</v>
      </c>
      <c r="U111" s="230" t="s">
        <v>218</v>
      </c>
      <c r="V111" s="191">
        <v>1</v>
      </c>
      <c r="W111" s="191">
        <v>1</v>
      </c>
      <c r="X111" s="233" t="s">
        <v>218</v>
      </c>
      <c r="Y111" s="230" t="s">
        <v>218</v>
      </c>
      <c r="Z111" s="191">
        <v>0</v>
      </c>
      <c r="AA111" s="191" t="s">
        <v>134</v>
      </c>
      <c r="AB111" s="221" t="s">
        <v>130</v>
      </c>
      <c r="AC111" s="241"/>
      <c r="AE111" s="183" t="s">
        <v>191</v>
      </c>
      <c r="AG111" s="183" t="str">
        <f t="shared" si="3"/>
        <v xml:space="preserve">[1,x,x,1,x,0,1,1,0,0]-&gt;[0,0,0,x,x,1,1,x,x,0];   </v>
      </c>
    </row>
    <row r="112" spans="1:33" ht="15.75" hidden="1" thickBot="1" x14ac:dyDescent="0.3">
      <c r="A112" s="248"/>
      <c r="B112" s="191"/>
      <c r="C112" s="220" t="s">
        <v>135</v>
      </c>
      <c r="D112" s="289">
        <v>1</v>
      </c>
      <c r="E112" s="233" t="s">
        <v>218</v>
      </c>
      <c r="F112" s="214" t="s">
        <v>218</v>
      </c>
      <c r="G112" s="289">
        <v>1</v>
      </c>
      <c r="H112" s="214" t="s">
        <v>218</v>
      </c>
      <c r="I112" s="191">
        <v>0</v>
      </c>
      <c r="J112" s="191">
        <v>1</v>
      </c>
      <c r="K112" s="191">
        <v>1</v>
      </c>
      <c r="L112" s="191">
        <v>0</v>
      </c>
      <c r="M112" s="191">
        <v>1</v>
      </c>
      <c r="N112" s="191" t="s">
        <v>134</v>
      </c>
      <c r="O112" s="211" t="s">
        <v>212</v>
      </c>
      <c r="P112" s="191" t="s">
        <v>135</v>
      </c>
      <c r="Q112" s="191">
        <v>0</v>
      </c>
      <c r="R112" s="191">
        <v>0</v>
      </c>
      <c r="S112" s="191">
        <v>1</v>
      </c>
      <c r="T112" s="233" t="s">
        <v>218</v>
      </c>
      <c r="U112" s="230" t="s">
        <v>218</v>
      </c>
      <c r="V112" s="191">
        <v>1</v>
      </c>
      <c r="W112" s="191">
        <v>1</v>
      </c>
      <c r="X112" s="233" t="s">
        <v>218</v>
      </c>
      <c r="Y112" s="230" t="s">
        <v>218</v>
      </c>
      <c r="Z112" s="191">
        <v>0</v>
      </c>
      <c r="AA112" s="191" t="s">
        <v>134</v>
      </c>
      <c r="AB112" s="221" t="s">
        <v>130</v>
      </c>
      <c r="AC112" s="241"/>
      <c r="AG112" s="183" t="str">
        <f t="shared" si="3"/>
        <v xml:space="preserve">[1,x,x,1,x,0,1,1,0,1]-&gt;[0,0,1,x,x,1,1,x,x,0];   </v>
      </c>
    </row>
    <row r="113" spans="1:33" ht="15.75" hidden="1" thickBot="1" x14ac:dyDescent="0.3">
      <c r="A113" s="248"/>
      <c r="B113" s="191"/>
      <c r="C113" s="220" t="s">
        <v>135</v>
      </c>
      <c r="D113" s="289">
        <v>1</v>
      </c>
      <c r="E113" s="233" t="s">
        <v>218</v>
      </c>
      <c r="F113" s="214" t="s">
        <v>218</v>
      </c>
      <c r="G113" s="289">
        <v>1</v>
      </c>
      <c r="H113" s="214" t="s">
        <v>218</v>
      </c>
      <c r="I113" s="191">
        <v>0</v>
      </c>
      <c r="J113" s="191">
        <v>1</v>
      </c>
      <c r="K113" s="191">
        <v>1</v>
      </c>
      <c r="L113" s="191">
        <v>1</v>
      </c>
      <c r="M113" s="191">
        <v>0</v>
      </c>
      <c r="N113" s="191" t="s">
        <v>134</v>
      </c>
      <c r="O113" s="211" t="s">
        <v>212</v>
      </c>
      <c r="P113" s="191" t="s">
        <v>135</v>
      </c>
      <c r="Q113" s="191">
        <v>0</v>
      </c>
      <c r="R113" s="191">
        <v>1</v>
      </c>
      <c r="S113" s="191">
        <v>0</v>
      </c>
      <c r="T113" s="233" t="s">
        <v>218</v>
      </c>
      <c r="U113" s="230" t="s">
        <v>218</v>
      </c>
      <c r="V113" s="191">
        <v>1</v>
      </c>
      <c r="W113" s="191">
        <v>1</v>
      </c>
      <c r="X113" s="233" t="s">
        <v>218</v>
      </c>
      <c r="Y113" s="230" t="s">
        <v>218</v>
      </c>
      <c r="Z113" s="191">
        <v>0</v>
      </c>
      <c r="AA113" s="191" t="s">
        <v>134</v>
      </c>
      <c r="AB113" s="221" t="s">
        <v>130</v>
      </c>
      <c r="AC113" s="241"/>
      <c r="AE113" s="183" t="s">
        <v>188</v>
      </c>
      <c r="AG113" s="183" t="str">
        <f t="shared" si="3"/>
        <v xml:space="preserve">[1,x,x,1,x,0,1,1,1,0]-&gt;[0,1,0,x,x,1,1,x,x,0];   </v>
      </c>
    </row>
    <row r="114" spans="1:33" ht="15.75" hidden="1" thickBot="1" x14ac:dyDescent="0.3">
      <c r="A114" s="248"/>
      <c r="B114" s="191"/>
      <c r="C114" s="220" t="s">
        <v>135</v>
      </c>
      <c r="D114" s="289">
        <v>1</v>
      </c>
      <c r="E114" s="233" t="s">
        <v>218</v>
      </c>
      <c r="F114" s="214" t="s">
        <v>218</v>
      </c>
      <c r="G114" s="290">
        <v>1</v>
      </c>
      <c r="H114" s="214" t="s">
        <v>218</v>
      </c>
      <c r="I114" s="191">
        <v>0</v>
      </c>
      <c r="J114" s="191">
        <v>1</v>
      </c>
      <c r="K114" s="191">
        <v>1</v>
      </c>
      <c r="L114" s="191">
        <v>1</v>
      </c>
      <c r="M114" s="191">
        <v>1</v>
      </c>
      <c r="N114" s="191" t="s">
        <v>134</v>
      </c>
      <c r="O114" s="211" t="s">
        <v>212</v>
      </c>
      <c r="P114" s="191" t="s">
        <v>135</v>
      </c>
      <c r="Q114" s="191">
        <v>0</v>
      </c>
      <c r="R114" s="191">
        <v>1</v>
      </c>
      <c r="S114" s="191">
        <v>1</v>
      </c>
      <c r="T114" s="233" t="s">
        <v>218</v>
      </c>
      <c r="U114" s="230" t="s">
        <v>218</v>
      </c>
      <c r="V114" s="191">
        <v>1</v>
      </c>
      <c r="W114" s="191">
        <v>1</v>
      </c>
      <c r="X114" s="233" t="s">
        <v>218</v>
      </c>
      <c r="Y114" s="230" t="s">
        <v>218</v>
      </c>
      <c r="Z114" s="191">
        <v>0</v>
      </c>
      <c r="AA114" s="191" t="s">
        <v>134</v>
      </c>
      <c r="AB114" s="221" t="s">
        <v>130</v>
      </c>
      <c r="AC114" s="241"/>
      <c r="AG114" s="183" t="str">
        <f t="shared" si="3"/>
        <v xml:space="preserve">[1,x,x,1,x,0,1,1,1,1]-&gt;[0,1,1,x,x,1,1,x,x,0];   </v>
      </c>
    </row>
    <row r="115" spans="1:33" ht="15.75" hidden="1" thickBot="1" x14ac:dyDescent="0.3">
      <c r="A115" s="248"/>
      <c r="B115" s="191"/>
      <c r="C115" s="220" t="s">
        <v>135</v>
      </c>
      <c r="D115" s="289">
        <v>1</v>
      </c>
      <c r="E115" s="233" t="s">
        <v>218</v>
      </c>
      <c r="F115" s="214" t="s">
        <v>218</v>
      </c>
      <c r="G115" s="214" t="s">
        <v>218</v>
      </c>
      <c r="H115" s="214" t="s">
        <v>218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212</v>
      </c>
      <c r="P115" s="191" t="s">
        <v>135</v>
      </c>
      <c r="Q115" s="191">
        <v>1</v>
      </c>
      <c r="R115" s="191">
        <v>0</v>
      </c>
      <c r="S115" s="191">
        <v>0</v>
      </c>
      <c r="T115" s="233" t="s">
        <v>218</v>
      </c>
      <c r="U115" s="230" t="s">
        <v>218</v>
      </c>
      <c r="V115" s="191">
        <v>1</v>
      </c>
      <c r="W115" s="191">
        <v>1</v>
      </c>
      <c r="X115" s="233" t="s">
        <v>218</v>
      </c>
      <c r="Y115" s="230" t="s">
        <v>218</v>
      </c>
      <c r="Z115" s="191">
        <v>0</v>
      </c>
      <c r="AA115" s="191" t="s">
        <v>134</v>
      </c>
      <c r="AB115" s="221" t="s">
        <v>130</v>
      </c>
      <c r="AC115" s="241"/>
      <c r="AE115" s="183" t="s">
        <v>183</v>
      </c>
      <c r="AG115" s="183" t="str">
        <f t="shared" si="3"/>
        <v xml:space="preserve">[1,x,x,x,x,1,0,0,0,0]-&gt;[1,0,0,x,x,1,1,x,x,0];   </v>
      </c>
    </row>
    <row r="116" spans="1:33" ht="15.75" hidden="1" thickBot="1" x14ac:dyDescent="0.3">
      <c r="A116" s="248"/>
      <c r="B116" s="191"/>
      <c r="C116" s="220" t="s">
        <v>135</v>
      </c>
      <c r="D116" s="289">
        <v>1</v>
      </c>
      <c r="E116" s="233" t="s">
        <v>218</v>
      </c>
      <c r="F116" s="214" t="s">
        <v>218</v>
      </c>
      <c r="G116" s="214" t="s">
        <v>218</v>
      </c>
      <c r="H116" s="214" t="s">
        <v>218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212</v>
      </c>
      <c r="P116" s="191" t="s">
        <v>135</v>
      </c>
      <c r="Q116" s="191">
        <v>1</v>
      </c>
      <c r="R116" s="191">
        <v>0</v>
      </c>
      <c r="S116" s="191">
        <v>1</v>
      </c>
      <c r="T116" s="233" t="s">
        <v>218</v>
      </c>
      <c r="U116" s="230" t="s">
        <v>218</v>
      </c>
      <c r="V116" s="191">
        <v>1</v>
      </c>
      <c r="W116" s="191">
        <v>1</v>
      </c>
      <c r="X116" s="233" t="s">
        <v>218</v>
      </c>
      <c r="Y116" s="230" t="s">
        <v>218</v>
      </c>
      <c r="Z116" s="191">
        <v>0</v>
      </c>
      <c r="AA116" s="191" t="s">
        <v>134</v>
      </c>
      <c r="AB116" s="221" t="s">
        <v>130</v>
      </c>
      <c r="AC116" s="241"/>
      <c r="AG116" s="183" t="str">
        <f t="shared" si="3"/>
        <v xml:space="preserve">[1,x,x,x,x,1,0,0,0,1]-&gt;[1,0,1,x,x,1,1,x,x,0];   </v>
      </c>
    </row>
    <row r="117" spans="1:33" ht="15.75" hidden="1" thickBot="1" x14ac:dyDescent="0.3">
      <c r="A117" s="248"/>
      <c r="B117" s="191"/>
      <c r="C117" s="220" t="s">
        <v>135</v>
      </c>
      <c r="D117" s="289">
        <v>1</v>
      </c>
      <c r="E117" s="233" t="s">
        <v>218</v>
      </c>
      <c r="F117" s="214" t="s">
        <v>218</v>
      </c>
      <c r="G117" s="214" t="s">
        <v>218</v>
      </c>
      <c r="H117" s="214" t="s">
        <v>218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212</v>
      </c>
      <c r="P117" s="191" t="s">
        <v>135</v>
      </c>
      <c r="Q117" s="191">
        <v>1</v>
      </c>
      <c r="R117" s="191">
        <v>1</v>
      </c>
      <c r="S117" s="191">
        <v>0</v>
      </c>
      <c r="T117" s="233" t="s">
        <v>218</v>
      </c>
      <c r="U117" s="230" t="s">
        <v>218</v>
      </c>
      <c r="V117" s="191">
        <v>1</v>
      </c>
      <c r="W117" s="191">
        <v>1</v>
      </c>
      <c r="X117" s="233" t="s">
        <v>218</v>
      </c>
      <c r="Y117" s="230" t="s">
        <v>218</v>
      </c>
      <c r="Z117" s="191">
        <v>0</v>
      </c>
      <c r="AA117" s="191" t="s">
        <v>134</v>
      </c>
      <c r="AB117" s="221" t="s">
        <v>130</v>
      </c>
      <c r="AC117" s="241"/>
      <c r="AE117" s="183" t="s">
        <v>181</v>
      </c>
      <c r="AG117" s="183" t="str">
        <f t="shared" si="3"/>
        <v xml:space="preserve">[1,x,x,x,x,1,0,0,1,0]-&gt;[1,1,0,x,x,1,1,x,x,0];   </v>
      </c>
    </row>
    <row r="118" spans="1:33" ht="15.75" hidden="1" thickBot="1" x14ac:dyDescent="0.3">
      <c r="A118" s="248"/>
      <c r="B118" s="191"/>
      <c r="C118" s="220" t="s">
        <v>135</v>
      </c>
      <c r="D118" s="289">
        <v>1</v>
      </c>
      <c r="E118" s="233" t="s">
        <v>218</v>
      </c>
      <c r="F118" s="214" t="s">
        <v>218</v>
      </c>
      <c r="G118" s="214" t="s">
        <v>218</v>
      </c>
      <c r="H118" s="214" t="s">
        <v>218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212</v>
      </c>
      <c r="P118" s="191" t="s">
        <v>135</v>
      </c>
      <c r="Q118" s="191">
        <v>1</v>
      </c>
      <c r="R118" s="191">
        <v>1</v>
      </c>
      <c r="S118" s="191">
        <v>1</v>
      </c>
      <c r="T118" s="233" t="s">
        <v>218</v>
      </c>
      <c r="U118" s="230" t="s">
        <v>218</v>
      </c>
      <c r="V118" s="191">
        <v>1</v>
      </c>
      <c r="W118" s="191">
        <v>1</v>
      </c>
      <c r="X118" s="233" t="s">
        <v>218</v>
      </c>
      <c r="Y118" s="230" t="s">
        <v>218</v>
      </c>
      <c r="Z118" s="191">
        <v>0</v>
      </c>
      <c r="AA118" s="191" t="s">
        <v>134</v>
      </c>
      <c r="AB118" s="221" t="s">
        <v>130</v>
      </c>
      <c r="AC118" s="241"/>
      <c r="AG118" s="183" t="str">
        <f t="shared" si="3"/>
        <v xml:space="preserve">[1,x,x,x,x,1,0,0,1,1]-&gt;[1,1,1,x,x,1,1,x,x,0];   </v>
      </c>
    </row>
    <row r="119" spans="1:33" ht="15.75" hidden="1" thickBot="1" x14ac:dyDescent="0.3">
      <c r="A119" s="248"/>
      <c r="B119" s="191"/>
      <c r="C119" s="220" t="s">
        <v>135</v>
      </c>
      <c r="D119" s="289">
        <v>1</v>
      </c>
      <c r="E119" s="233" t="s">
        <v>218</v>
      </c>
      <c r="F119" s="214" t="s">
        <v>218</v>
      </c>
      <c r="G119" s="214" t="s">
        <v>218</v>
      </c>
      <c r="H119" s="214" t="s">
        <v>218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212</v>
      </c>
      <c r="P119" s="191" t="s">
        <v>135</v>
      </c>
      <c r="Q119" s="191">
        <v>1</v>
      </c>
      <c r="R119" s="191">
        <v>0</v>
      </c>
      <c r="S119" s="191">
        <v>0</v>
      </c>
      <c r="T119" s="233" t="s">
        <v>218</v>
      </c>
      <c r="U119" s="230" t="s">
        <v>218</v>
      </c>
      <c r="V119" s="191">
        <v>1</v>
      </c>
      <c r="W119" s="191">
        <v>1</v>
      </c>
      <c r="X119" s="233" t="s">
        <v>218</v>
      </c>
      <c r="Y119" s="230" t="s">
        <v>218</v>
      </c>
      <c r="Z119" s="191">
        <v>0</v>
      </c>
      <c r="AA119" s="191" t="s">
        <v>134</v>
      </c>
      <c r="AB119" s="221" t="s">
        <v>130</v>
      </c>
      <c r="AC119" s="241"/>
      <c r="AE119" s="183" t="s">
        <v>178</v>
      </c>
      <c r="AG119" s="183" t="str">
        <f t="shared" si="3"/>
        <v xml:space="preserve">[1,x,x,x,x,1,0,1,0,0]-&gt;[1,0,0,x,x,1,1,x,x,0];   </v>
      </c>
    </row>
    <row r="120" spans="1:33" ht="15.75" hidden="1" thickBot="1" x14ac:dyDescent="0.3">
      <c r="A120" s="248"/>
      <c r="B120" s="191"/>
      <c r="C120" s="220" t="s">
        <v>135</v>
      </c>
      <c r="D120" s="289">
        <v>1</v>
      </c>
      <c r="E120" s="233" t="s">
        <v>218</v>
      </c>
      <c r="F120" s="214" t="s">
        <v>218</v>
      </c>
      <c r="G120" s="214" t="s">
        <v>218</v>
      </c>
      <c r="H120" s="214" t="s">
        <v>218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212</v>
      </c>
      <c r="P120" s="191" t="s">
        <v>135</v>
      </c>
      <c r="Q120" s="191">
        <v>1</v>
      </c>
      <c r="R120" s="191">
        <v>0</v>
      </c>
      <c r="S120" s="191">
        <v>1</v>
      </c>
      <c r="T120" s="233" t="s">
        <v>218</v>
      </c>
      <c r="U120" s="230" t="s">
        <v>218</v>
      </c>
      <c r="V120" s="191">
        <v>1</v>
      </c>
      <c r="W120" s="191">
        <v>1</v>
      </c>
      <c r="X120" s="233" t="s">
        <v>218</v>
      </c>
      <c r="Y120" s="230" t="s">
        <v>218</v>
      </c>
      <c r="Z120" s="191">
        <v>0</v>
      </c>
      <c r="AA120" s="191" t="s">
        <v>134</v>
      </c>
      <c r="AB120" s="221" t="s">
        <v>130</v>
      </c>
      <c r="AC120" s="241"/>
      <c r="AG120" s="183" t="str">
        <f t="shared" si="3"/>
        <v xml:space="preserve">[1,x,x,x,x,1,0,1,0,1]-&gt;[1,0,1,x,x,1,1,x,x,0];   </v>
      </c>
    </row>
    <row r="121" spans="1:33" ht="15.75" hidden="1" thickBot="1" x14ac:dyDescent="0.3">
      <c r="A121" s="248"/>
      <c r="B121" s="191"/>
      <c r="C121" s="220" t="s">
        <v>135</v>
      </c>
      <c r="D121" s="289">
        <v>1</v>
      </c>
      <c r="E121" s="233" t="s">
        <v>218</v>
      </c>
      <c r="F121" s="214" t="s">
        <v>218</v>
      </c>
      <c r="G121" s="214" t="s">
        <v>218</v>
      </c>
      <c r="H121" s="214" t="s">
        <v>218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212</v>
      </c>
      <c r="P121" s="191" t="s">
        <v>135</v>
      </c>
      <c r="Q121" s="191">
        <v>1</v>
      </c>
      <c r="R121" s="191">
        <v>1</v>
      </c>
      <c r="S121" s="191">
        <v>0</v>
      </c>
      <c r="T121" s="233" t="s">
        <v>218</v>
      </c>
      <c r="U121" s="230" t="s">
        <v>218</v>
      </c>
      <c r="V121" s="191">
        <v>1</v>
      </c>
      <c r="W121" s="191">
        <v>1</v>
      </c>
      <c r="X121" s="233" t="s">
        <v>218</v>
      </c>
      <c r="Y121" s="230" t="s">
        <v>218</v>
      </c>
      <c r="Z121" s="191">
        <v>0</v>
      </c>
      <c r="AA121" s="191" t="s">
        <v>134</v>
      </c>
      <c r="AB121" s="221" t="s">
        <v>130</v>
      </c>
      <c r="AC121" s="241"/>
      <c r="AE121" s="183" t="s">
        <v>176</v>
      </c>
      <c r="AG121" s="183" t="str">
        <f t="shared" si="3"/>
        <v xml:space="preserve">[1,x,x,x,x,1,0,1,1,0]-&gt;[1,1,0,x,x,1,1,x,x,0];   </v>
      </c>
    </row>
    <row r="122" spans="1:33" ht="15.75" hidden="1" thickBot="1" x14ac:dyDescent="0.3">
      <c r="A122" s="248"/>
      <c r="B122" s="191"/>
      <c r="C122" s="220" t="s">
        <v>135</v>
      </c>
      <c r="D122" s="289">
        <v>1</v>
      </c>
      <c r="E122" s="233" t="s">
        <v>218</v>
      </c>
      <c r="F122" s="214" t="s">
        <v>218</v>
      </c>
      <c r="G122" s="214" t="s">
        <v>218</v>
      </c>
      <c r="H122" s="214" t="s">
        <v>218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212</v>
      </c>
      <c r="P122" s="191" t="s">
        <v>135</v>
      </c>
      <c r="Q122" s="191">
        <v>1</v>
      </c>
      <c r="R122" s="191">
        <v>1</v>
      </c>
      <c r="S122" s="191">
        <v>1</v>
      </c>
      <c r="T122" s="233" t="s">
        <v>218</v>
      </c>
      <c r="U122" s="230" t="s">
        <v>218</v>
      </c>
      <c r="V122" s="191">
        <v>1</v>
      </c>
      <c r="W122" s="191">
        <v>1</v>
      </c>
      <c r="X122" s="233" t="s">
        <v>218</v>
      </c>
      <c r="Y122" s="230" t="s">
        <v>218</v>
      </c>
      <c r="Z122" s="191">
        <v>0</v>
      </c>
      <c r="AA122" s="191" t="s">
        <v>134</v>
      </c>
      <c r="AB122" s="221" t="s">
        <v>130</v>
      </c>
      <c r="AC122" s="241"/>
      <c r="AG122" s="183" t="str">
        <f t="shared" si="3"/>
        <v xml:space="preserve">[1,x,x,x,x,1,0,1,1,1]-&gt;[1,1,1,x,x,1,1,x,x,0];   </v>
      </c>
    </row>
    <row r="123" spans="1:33" ht="15.75" hidden="1" thickBot="1" x14ac:dyDescent="0.3">
      <c r="A123" s="248"/>
      <c r="B123" s="191"/>
      <c r="C123" s="220" t="s">
        <v>135</v>
      </c>
      <c r="D123" s="289">
        <v>1</v>
      </c>
      <c r="E123" s="312">
        <v>0</v>
      </c>
      <c r="F123" s="214" t="s">
        <v>218</v>
      </c>
      <c r="G123" s="288">
        <v>1</v>
      </c>
      <c r="H123" s="312">
        <v>1</v>
      </c>
      <c r="I123" s="216">
        <v>1</v>
      </c>
      <c r="J123" s="217">
        <v>1</v>
      </c>
      <c r="K123" s="219">
        <v>0</v>
      </c>
      <c r="L123" s="191">
        <v>0</v>
      </c>
      <c r="M123" s="191">
        <v>0</v>
      </c>
      <c r="N123" s="191" t="s">
        <v>134</v>
      </c>
      <c r="O123" s="211" t="s">
        <v>212</v>
      </c>
      <c r="P123" s="191" t="s">
        <v>135</v>
      </c>
      <c r="Q123" s="191">
        <v>1</v>
      </c>
      <c r="R123" s="191">
        <v>0</v>
      </c>
      <c r="S123" s="191">
        <v>0</v>
      </c>
      <c r="T123" s="233" t="s">
        <v>218</v>
      </c>
      <c r="U123" s="230" t="s">
        <v>218</v>
      </c>
      <c r="V123" s="191">
        <v>1</v>
      </c>
      <c r="W123" s="191">
        <v>1</v>
      </c>
      <c r="X123" s="233" t="s">
        <v>218</v>
      </c>
      <c r="Y123" s="230" t="s">
        <v>218</v>
      </c>
      <c r="Z123" s="191">
        <v>0</v>
      </c>
      <c r="AA123" s="191" t="s">
        <v>134</v>
      </c>
      <c r="AB123" s="221" t="s">
        <v>130</v>
      </c>
      <c r="AC123" s="241" t="s">
        <v>216</v>
      </c>
      <c r="AD123" s="269" t="s">
        <v>217</v>
      </c>
      <c r="AE123" s="183" t="s">
        <v>172</v>
      </c>
      <c r="AG123" s="183" t="str">
        <f t="shared" si="3"/>
        <v>[1,0,x,1,1,1,1,0,0,0]-&gt;[1,0,0,x,x,1,1,x,x,0];   "Low-Rom auf dem Board</v>
      </c>
    </row>
    <row r="124" spans="1:33" ht="15.75" hidden="1" thickBot="1" x14ac:dyDescent="0.3">
      <c r="A124" s="248"/>
      <c r="B124" s="191"/>
      <c r="C124" s="220" t="s">
        <v>135</v>
      </c>
      <c r="D124" s="289">
        <v>1</v>
      </c>
      <c r="E124" s="313">
        <v>0</v>
      </c>
      <c r="F124" s="214" t="s">
        <v>218</v>
      </c>
      <c r="G124" s="289">
        <v>1</v>
      </c>
      <c r="H124" s="313">
        <v>1</v>
      </c>
      <c r="I124" s="220">
        <v>1</v>
      </c>
      <c r="J124" s="191">
        <v>1</v>
      </c>
      <c r="K124" s="221">
        <v>0</v>
      </c>
      <c r="L124" s="191">
        <v>0</v>
      </c>
      <c r="M124" s="191">
        <v>1</v>
      </c>
      <c r="N124" s="191" t="s">
        <v>134</v>
      </c>
      <c r="O124" s="211" t="s">
        <v>212</v>
      </c>
      <c r="P124" s="191" t="s">
        <v>135</v>
      </c>
      <c r="Q124" s="191">
        <v>1</v>
      </c>
      <c r="R124" s="191">
        <v>0</v>
      </c>
      <c r="S124" s="191">
        <v>1</v>
      </c>
      <c r="T124" s="233" t="s">
        <v>218</v>
      </c>
      <c r="U124" s="230" t="s">
        <v>218</v>
      </c>
      <c r="V124" s="191">
        <v>1</v>
      </c>
      <c r="W124" s="191">
        <v>1</v>
      </c>
      <c r="X124" s="233" t="s">
        <v>218</v>
      </c>
      <c r="Y124" s="230" t="s">
        <v>218</v>
      </c>
      <c r="Z124" s="191">
        <v>0</v>
      </c>
      <c r="AA124" s="191" t="s">
        <v>134</v>
      </c>
      <c r="AB124" s="221" t="s">
        <v>130</v>
      </c>
      <c r="AD124" s="251"/>
      <c r="AG124" s="183" t="str">
        <f t="shared" si="3"/>
        <v xml:space="preserve">[1,0,x,1,1,1,1,0,0,1]-&gt;[1,0,1,x,x,1,1,x,x,0];   </v>
      </c>
    </row>
    <row r="125" spans="1:33" ht="15.75" hidden="1" customHeight="1" x14ac:dyDescent="0.3">
      <c r="A125" s="248"/>
      <c r="B125" s="191"/>
      <c r="C125" s="220" t="s">
        <v>135</v>
      </c>
      <c r="D125" s="289">
        <v>1</v>
      </c>
      <c r="E125" s="313">
        <v>0</v>
      </c>
      <c r="F125" s="214" t="s">
        <v>218</v>
      </c>
      <c r="G125" s="289">
        <v>1</v>
      </c>
      <c r="H125" s="313">
        <v>1</v>
      </c>
      <c r="I125" s="220">
        <v>1</v>
      </c>
      <c r="J125" s="191">
        <v>1</v>
      </c>
      <c r="K125" s="221">
        <v>0</v>
      </c>
      <c r="L125" s="191">
        <v>1</v>
      </c>
      <c r="M125" s="191">
        <v>0</v>
      </c>
      <c r="N125" s="191" t="s">
        <v>134</v>
      </c>
      <c r="O125" s="211" t="s">
        <v>212</v>
      </c>
      <c r="P125" s="191" t="s">
        <v>135</v>
      </c>
      <c r="Q125" s="191">
        <v>1</v>
      </c>
      <c r="R125" s="191">
        <v>1</v>
      </c>
      <c r="S125" s="191">
        <v>0</v>
      </c>
      <c r="T125" s="233" t="s">
        <v>218</v>
      </c>
      <c r="U125" s="230" t="s">
        <v>218</v>
      </c>
      <c r="V125" s="191">
        <v>1</v>
      </c>
      <c r="W125" s="191">
        <v>1</v>
      </c>
      <c r="X125" s="233" t="s">
        <v>218</v>
      </c>
      <c r="Y125" s="230" t="s">
        <v>218</v>
      </c>
      <c r="Z125" s="191">
        <v>0</v>
      </c>
      <c r="AA125" s="191" t="s">
        <v>134</v>
      </c>
      <c r="AB125" s="221" t="s">
        <v>130</v>
      </c>
      <c r="AC125" s="241"/>
      <c r="AD125" s="251"/>
      <c r="AE125" s="183" t="s">
        <v>170</v>
      </c>
      <c r="AG125" s="183" t="str">
        <f t="shared" si="3"/>
        <v xml:space="preserve">[1,0,x,1,1,1,1,0,1,0]-&gt;[1,1,0,x,x,1,1,x,x,0];   </v>
      </c>
    </row>
    <row r="126" spans="1:33" ht="15.75" hidden="1" thickBot="1" x14ac:dyDescent="0.3">
      <c r="A126" s="248"/>
      <c r="B126" s="191"/>
      <c r="C126" s="220" t="s">
        <v>135</v>
      </c>
      <c r="D126" s="289">
        <v>1</v>
      </c>
      <c r="E126" s="314">
        <v>0</v>
      </c>
      <c r="F126" s="214" t="s">
        <v>218</v>
      </c>
      <c r="G126" s="289">
        <v>1</v>
      </c>
      <c r="H126" s="314">
        <v>1</v>
      </c>
      <c r="I126" s="222">
        <v>1</v>
      </c>
      <c r="J126" s="223">
        <v>1</v>
      </c>
      <c r="K126" s="225">
        <v>0</v>
      </c>
      <c r="L126" s="191">
        <v>1</v>
      </c>
      <c r="M126" s="191">
        <v>1</v>
      </c>
      <c r="N126" s="191" t="s">
        <v>134</v>
      </c>
      <c r="O126" s="211" t="s">
        <v>212</v>
      </c>
      <c r="P126" s="191" t="s">
        <v>135</v>
      </c>
      <c r="Q126" s="191">
        <v>1</v>
      </c>
      <c r="R126" s="191">
        <v>1</v>
      </c>
      <c r="S126" s="191">
        <v>1</v>
      </c>
      <c r="T126" s="233" t="s">
        <v>218</v>
      </c>
      <c r="U126" s="230" t="s">
        <v>218</v>
      </c>
      <c r="V126" s="191">
        <v>1</v>
      </c>
      <c r="W126" s="191">
        <v>1</v>
      </c>
      <c r="X126" s="233" t="s">
        <v>218</v>
      </c>
      <c r="Y126" s="230" t="s">
        <v>218</v>
      </c>
      <c r="Z126" s="191">
        <v>0</v>
      </c>
      <c r="AA126" s="191" t="s">
        <v>134</v>
      </c>
      <c r="AB126" s="221" t="s">
        <v>130</v>
      </c>
      <c r="AC126" s="241"/>
      <c r="AD126" s="252"/>
      <c r="AG126" s="183" t="str">
        <f t="shared" si="3"/>
        <v xml:space="preserve">[1,0,x,1,1,1,1,0,1,1]-&gt;[1,1,1,x,x,1,1,x,x,0];   </v>
      </c>
    </row>
    <row r="127" spans="1:33" x14ac:dyDescent="0.25">
      <c r="A127" s="248"/>
      <c r="B127" s="191"/>
      <c r="C127" s="220" t="s">
        <v>135</v>
      </c>
      <c r="D127" s="289">
        <v>1</v>
      </c>
      <c r="E127" s="233" t="s">
        <v>218</v>
      </c>
      <c r="F127" s="214" t="s">
        <v>218</v>
      </c>
      <c r="G127" s="289">
        <v>1</v>
      </c>
      <c r="H127" s="312">
        <v>1</v>
      </c>
      <c r="I127" s="216">
        <v>1</v>
      </c>
      <c r="J127" s="217">
        <v>1</v>
      </c>
      <c r="K127" s="219">
        <v>1</v>
      </c>
      <c r="L127" s="191">
        <v>0</v>
      </c>
      <c r="M127" s="191">
        <v>0</v>
      </c>
      <c r="N127" s="191" t="s">
        <v>134</v>
      </c>
      <c r="O127" s="211" t="s">
        <v>212</v>
      </c>
      <c r="P127" s="191" t="s">
        <v>135</v>
      </c>
      <c r="Q127" s="235">
        <v>0</v>
      </c>
      <c r="R127" s="226">
        <v>1</v>
      </c>
      <c r="S127" s="236">
        <v>0</v>
      </c>
      <c r="T127" s="235">
        <v>0</v>
      </c>
      <c r="U127" s="236">
        <v>1</v>
      </c>
      <c r="V127" s="312">
        <v>0</v>
      </c>
      <c r="W127" s="191">
        <v>1</v>
      </c>
      <c r="X127" s="235">
        <v>0</v>
      </c>
      <c r="Y127" s="236">
        <v>0</v>
      </c>
      <c r="Z127" s="191">
        <v>0</v>
      </c>
      <c r="AA127" s="191" t="s">
        <v>134</v>
      </c>
      <c r="AB127" s="221" t="s">
        <v>130</v>
      </c>
      <c r="AC127" s="242" t="s">
        <v>216</v>
      </c>
      <c r="AD127" s="311" t="s">
        <v>280</v>
      </c>
      <c r="AE127" s="183" t="s">
        <v>168</v>
      </c>
      <c r="AG127" s="183" t="str">
        <f t="shared" si="3"/>
        <v>[1,x,x,1,1,1,1,1,0,0]-&gt;[0,1,0,0,1,0,1,0,0,0];   "High-Rom auf ProfDos (Speeddos)</v>
      </c>
    </row>
    <row r="128" spans="1:33" x14ac:dyDescent="0.25">
      <c r="A128" s="248"/>
      <c r="B128" s="191"/>
      <c r="C128" s="220" t="s">
        <v>135</v>
      </c>
      <c r="D128" s="289">
        <v>1</v>
      </c>
      <c r="E128" s="233" t="s">
        <v>218</v>
      </c>
      <c r="F128" s="214" t="s">
        <v>218</v>
      </c>
      <c r="G128" s="289">
        <v>1</v>
      </c>
      <c r="H128" s="313">
        <v>1</v>
      </c>
      <c r="I128" s="220">
        <v>1</v>
      </c>
      <c r="J128" s="191">
        <v>1</v>
      </c>
      <c r="K128" s="221">
        <v>1</v>
      </c>
      <c r="L128" s="191">
        <v>0</v>
      </c>
      <c r="M128" s="191">
        <v>1</v>
      </c>
      <c r="N128" s="191" t="s">
        <v>134</v>
      </c>
      <c r="O128" s="211" t="s">
        <v>212</v>
      </c>
      <c r="P128" s="191" t="s">
        <v>135</v>
      </c>
      <c r="Q128" s="237">
        <v>0</v>
      </c>
      <c r="R128" s="213">
        <v>1</v>
      </c>
      <c r="S128" s="238">
        <v>0</v>
      </c>
      <c r="T128" s="237">
        <v>0</v>
      </c>
      <c r="U128" s="238">
        <v>1</v>
      </c>
      <c r="V128" s="313">
        <v>0</v>
      </c>
      <c r="W128" s="191">
        <v>1</v>
      </c>
      <c r="X128" s="237">
        <v>0</v>
      </c>
      <c r="Y128" s="238">
        <v>0</v>
      </c>
      <c r="Z128" s="191">
        <v>0</v>
      </c>
      <c r="AA128" s="191" t="s">
        <v>134</v>
      </c>
      <c r="AB128" s="221" t="s">
        <v>130</v>
      </c>
      <c r="AD128" s="309"/>
      <c r="AG128" s="183" t="str">
        <f t="shared" si="3"/>
        <v xml:space="preserve">[1,x,x,1,1,1,1,1,0,1]-&gt;[0,1,0,0,1,0,1,0,0,0];   </v>
      </c>
    </row>
    <row r="129" spans="1:33" x14ac:dyDescent="0.25">
      <c r="A129" s="248"/>
      <c r="B129" s="191"/>
      <c r="C129" s="220" t="s">
        <v>135</v>
      </c>
      <c r="D129" s="289">
        <v>1</v>
      </c>
      <c r="E129" s="233" t="s">
        <v>218</v>
      </c>
      <c r="F129" s="214" t="s">
        <v>218</v>
      </c>
      <c r="G129" s="289">
        <v>1</v>
      </c>
      <c r="H129" s="313">
        <v>1</v>
      </c>
      <c r="I129" s="220">
        <v>1</v>
      </c>
      <c r="J129" s="191">
        <v>1</v>
      </c>
      <c r="K129" s="221">
        <v>1</v>
      </c>
      <c r="L129" s="191">
        <v>1</v>
      </c>
      <c r="M129" s="191">
        <v>0</v>
      </c>
      <c r="N129" s="191" t="s">
        <v>134</v>
      </c>
      <c r="O129" s="211" t="s">
        <v>212</v>
      </c>
      <c r="P129" s="191" t="s">
        <v>135</v>
      </c>
      <c r="Q129" s="237">
        <v>0</v>
      </c>
      <c r="R129" s="213">
        <v>1</v>
      </c>
      <c r="S129" s="238">
        <v>0</v>
      </c>
      <c r="T129" s="237">
        <v>0</v>
      </c>
      <c r="U129" s="238">
        <v>1</v>
      </c>
      <c r="V129" s="313">
        <v>0</v>
      </c>
      <c r="W129" s="191">
        <v>1</v>
      </c>
      <c r="X129" s="237">
        <v>0</v>
      </c>
      <c r="Y129" s="238">
        <v>0</v>
      </c>
      <c r="Z129" s="191">
        <v>0</v>
      </c>
      <c r="AA129" s="191" t="s">
        <v>134</v>
      </c>
      <c r="AB129" s="221" t="s">
        <v>130</v>
      </c>
      <c r="AC129" s="241"/>
      <c r="AD129" s="309"/>
      <c r="AE129" s="183" t="s">
        <v>166</v>
      </c>
      <c r="AG129" s="183" t="str">
        <f t="shared" si="3"/>
        <v xml:space="preserve">[1,x,x,1,1,1,1,1,1,0]-&gt;[0,1,0,0,1,0,1,0,0,0];   </v>
      </c>
    </row>
    <row r="130" spans="1:33" ht="15.75" thickBot="1" x14ac:dyDescent="0.3">
      <c r="A130" s="248"/>
      <c r="B130" s="191"/>
      <c r="C130" s="220" t="s">
        <v>135</v>
      </c>
      <c r="D130" s="290">
        <v>1</v>
      </c>
      <c r="E130" s="234" t="s">
        <v>218</v>
      </c>
      <c r="F130" s="229" t="s">
        <v>218</v>
      </c>
      <c r="G130" s="290">
        <v>1</v>
      </c>
      <c r="H130" s="314">
        <v>1</v>
      </c>
      <c r="I130" s="222">
        <v>1</v>
      </c>
      <c r="J130" s="223">
        <v>1</v>
      </c>
      <c r="K130" s="225">
        <v>1</v>
      </c>
      <c r="L130" s="223">
        <v>1</v>
      </c>
      <c r="M130" s="223">
        <v>1</v>
      </c>
      <c r="N130" s="223" t="s">
        <v>134</v>
      </c>
      <c r="O130" s="224" t="s">
        <v>212</v>
      </c>
      <c r="P130" s="223" t="s">
        <v>135</v>
      </c>
      <c r="Q130" s="239">
        <v>0</v>
      </c>
      <c r="R130" s="227">
        <v>1</v>
      </c>
      <c r="S130" s="240">
        <v>0</v>
      </c>
      <c r="T130" s="239">
        <v>0</v>
      </c>
      <c r="U130" s="240">
        <v>1</v>
      </c>
      <c r="V130" s="314">
        <v>0</v>
      </c>
      <c r="W130" s="191">
        <v>1</v>
      </c>
      <c r="X130" s="239">
        <v>0</v>
      </c>
      <c r="Y130" s="240">
        <v>0</v>
      </c>
      <c r="Z130" s="191">
        <v>0</v>
      </c>
      <c r="AA130" s="191" t="s">
        <v>134</v>
      </c>
      <c r="AB130" s="221" t="s">
        <v>130</v>
      </c>
      <c r="AC130" s="241"/>
      <c r="AD130" s="310"/>
      <c r="AG130" s="183" t="str">
        <f t="shared" si="3"/>
        <v xml:space="preserve">[1,x,x,1,1,1,1,1,1,1]-&gt;[0,1,0,0,1,0,1,0,0,0];   </v>
      </c>
    </row>
    <row r="131" spans="1:33" ht="15.75" hidden="1" thickBot="1" x14ac:dyDescent="0.3">
      <c r="A131" s="248"/>
      <c r="B131" s="191"/>
      <c r="C131" s="216" t="s">
        <v>135</v>
      </c>
      <c r="D131" s="289">
        <v>1</v>
      </c>
      <c r="E131" s="232" t="s">
        <v>218</v>
      </c>
      <c r="F131" s="228" t="s">
        <v>218</v>
      </c>
      <c r="G131" s="295">
        <v>1</v>
      </c>
      <c r="H131" s="214" t="s">
        <v>218</v>
      </c>
      <c r="I131" s="217">
        <v>0</v>
      </c>
      <c r="J131" s="217">
        <v>0</v>
      </c>
      <c r="K131" s="217">
        <v>0</v>
      </c>
      <c r="L131" s="217">
        <v>0</v>
      </c>
      <c r="M131" s="217">
        <v>0</v>
      </c>
      <c r="N131" s="217" t="s">
        <v>134</v>
      </c>
      <c r="O131" s="218" t="s">
        <v>212</v>
      </c>
      <c r="P131" s="217" t="s">
        <v>135</v>
      </c>
      <c r="Q131" s="217">
        <v>0</v>
      </c>
      <c r="R131" s="217">
        <v>0</v>
      </c>
      <c r="S131" s="217">
        <v>0</v>
      </c>
      <c r="T131" s="232" t="s">
        <v>218</v>
      </c>
      <c r="U131" s="270" t="s">
        <v>218</v>
      </c>
      <c r="V131" s="217">
        <v>1</v>
      </c>
      <c r="W131" s="217">
        <v>1</v>
      </c>
      <c r="X131" s="232" t="s">
        <v>218</v>
      </c>
      <c r="Y131" s="270" t="s">
        <v>218</v>
      </c>
      <c r="Z131" s="217">
        <v>0</v>
      </c>
      <c r="AA131" s="217" t="s">
        <v>134</v>
      </c>
      <c r="AB131" s="219" t="s">
        <v>130</v>
      </c>
      <c r="AC131" s="242" t="s">
        <v>216</v>
      </c>
      <c r="AD131" s="307" t="s">
        <v>279</v>
      </c>
      <c r="AE131" s="241" t="s">
        <v>208</v>
      </c>
      <c r="AG131" s="183" t="str">
        <f t="shared" si="3"/>
        <v>[1,x,x,1,x,0,0,0,0,0]-&gt;[0,0,0,x,x,1,1,x,x,0];   "ProfDos aus, RAM onboard, LoRom alt, HiRom alt</v>
      </c>
    </row>
    <row r="132" spans="1:33" ht="15.75" hidden="1" thickBot="1" x14ac:dyDescent="0.3">
      <c r="A132" s="248"/>
      <c r="B132" s="191"/>
      <c r="C132" s="220" t="s">
        <v>135</v>
      </c>
      <c r="D132" s="287" t="s">
        <v>218</v>
      </c>
      <c r="E132" s="233" t="s">
        <v>218</v>
      </c>
      <c r="F132" s="214" t="s">
        <v>218</v>
      </c>
      <c r="G132" s="230" t="s">
        <v>218</v>
      </c>
      <c r="H132" s="214" t="s">
        <v>218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212</v>
      </c>
      <c r="P132" s="191" t="s">
        <v>135</v>
      </c>
      <c r="Q132" s="191">
        <v>0</v>
      </c>
      <c r="R132" s="191">
        <v>0</v>
      </c>
      <c r="S132" s="191">
        <v>1</v>
      </c>
      <c r="T132" s="233" t="s">
        <v>218</v>
      </c>
      <c r="U132" s="230" t="s">
        <v>218</v>
      </c>
      <c r="V132" s="191">
        <v>1</v>
      </c>
      <c r="W132" s="191">
        <v>1</v>
      </c>
      <c r="X132" s="233" t="s">
        <v>218</v>
      </c>
      <c r="Y132" s="230" t="s">
        <v>218</v>
      </c>
      <c r="Z132" s="191">
        <v>0</v>
      </c>
      <c r="AA132" s="191" t="s">
        <v>134</v>
      </c>
      <c r="AB132" s="221" t="s">
        <v>130</v>
      </c>
      <c r="AC132" s="242" t="s">
        <v>216</v>
      </c>
      <c r="AD132" s="213" t="s">
        <v>277</v>
      </c>
      <c r="AG132" s="183" t="str">
        <f t="shared" ref="AG132:AG162" si="4">C132&amp;D132&amp;","&amp;E132&amp;","&amp;F132&amp;","&amp;G132&amp;","&amp;H132&amp;","&amp;I132&amp;","&amp;J132&amp;","&amp;K132&amp;","&amp;L132&amp;","&amp;M132&amp;N132&amp;O132&amp;P132&amp;Q132&amp;","&amp;R132&amp;","&amp;S132&amp;","&amp;T132&amp;","&amp;U132&amp;","&amp;V132&amp;","&amp;W132&amp;","&amp;X132&amp;","&amp;Y132&amp;","&amp;Z132&amp;AA132&amp;AB132&amp;"   "&amp;AC132&amp;AD132</f>
        <v>[x,x,x,x,x,0,0,0,0,1]-&gt;[0,0,1,x,x,1,1,x,x,0];   "Speeddos</v>
      </c>
    </row>
    <row r="133" spans="1:33" ht="15.75" hidden="1" thickBot="1" x14ac:dyDescent="0.3">
      <c r="A133" s="248"/>
      <c r="B133" s="191"/>
      <c r="C133" s="220" t="s">
        <v>135</v>
      </c>
      <c r="D133" s="287" t="s">
        <v>218</v>
      </c>
      <c r="E133" s="233" t="s">
        <v>218</v>
      </c>
      <c r="F133" s="214" t="s">
        <v>218</v>
      </c>
      <c r="G133" s="230" t="s">
        <v>218</v>
      </c>
      <c r="H133" s="214" t="s">
        <v>218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212</v>
      </c>
      <c r="P133" s="191" t="s">
        <v>135</v>
      </c>
      <c r="Q133" s="191">
        <v>0</v>
      </c>
      <c r="R133" s="191">
        <v>1</v>
      </c>
      <c r="S133" s="191">
        <v>0</v>
      </c>
      <c r="T133" s="233" t="s">
        <v>218</v>
      </c>
      <c r="U133" s="230" t="s">
        <v>218</v>
      </c>
      <c r="V133" s="191">
        <v>1</v>
      </c>
      <c r="W133" s="191">
        <v>1</v>
      </c>
      <c r="X133" s="233" t="s">
        <v>218</v>
      </c>
      <c r="Y133" s="230" t="s">
        <v>218</v>
      </c>
      <c r="Z133" s="191">
        <v>0</v>
      </c>
      <c r="AA133" s="191" t="s">
        <v>134</v>
      </c>
      <c r="AB133" s="221" t="s">
        <v>130</v>
      </c>
      <c r="AC133" s="241"/>
      <c r="AE133" s="183" t="s">
        <v>206</v>
      </c>
      <c r="AG133" s="183" t="str">
        <f t="shared" si="4"/>
        <v xml:space="preserve">[x,x,x,x,x,0,0,0,1,0]-&gt;[0,1,0,x,x,1,1,x,x,0];   </v>
      </c>
    </row>
    <row r="134" spans="1:33" ht="15.75" hidden="1" thickBot="1" x14ac:dyDescent="0.3">
      <c r="A134" s="248"/>
      <c r="B134" s="191"/>
      <c r="C134" s="220" t="s">
        <v>135</v>
      </c>
      <c r="D134" s="287" t="s">
        <v>218</v>
      </c>
      <c r="E134" s="233" t="s">
        <v>218</v>
      </c>
      <c r="F134" s="214" t="s">
        <v>218</v>
      </c>
      <c r="G134" s="230" t="s">
        <v>218</v>
      </c>
      <c r="H134" s="214" t="s">
        <v>218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212</v>
      </c>
      <c r="P134" s="191" t="s">
        <v>135</v>
      </c>
      <c r="Q134" s="191">
        <v>0</v>
      </c>
      <c r="R134" s="191">
        <v>1</v>
      </c>
      <c r="S134" s="191">
        <v>1</v>
      </c>
      <c r="T134" s="233" t="s">
        <v>218</v>
      </c>
      <c r="U134" s="230" t="s">
        <v>218</v>
      </c>
      <c r="V134" s="191">
        <v>1</v>
      </c>
      <c r="W134" s="191">
        <v>1</v>
      </c>
      <c r="X134" s="233" t="s">
        <v>218</v>
      </c>
      <c r="Y134" s="230" t="s">
        <v>218</v>
      </c>
      <c r="Z134" s="191">
        <v>0</v>
      </c>
      <c r="AA134" s="191" t="s">
        <v>134</v>
      </c>
      <c r="AB134" s="221" t="s">
        <v>130</v>
      </c>
      <c r="AC134" s="241"/>
      <c r="AG134" s="183" t="str">
        <f t="shared" si="4"/>
        <v xml:space="preserve">[x,x,x,x,x,0,0,0,1,1]-&gt;[0,1,1,x,x,1,1,x,x,0];   </v>
      </c>
    </row>
    <row r="135" spans="1:33" ht="15.75" hidden="1" thickBot="1" x14ac:dyDescent="0.3">
      <c r="A135" s="248"/>
      <c r="B135" s="191"/>
      <c r="C135" s="220" t="s">
        <v>135</v>
      </c>
      <c r="D135" s="287" t="s">
        <v>218</v>
      </c>
      <c r="E135" s="233" t="s">
        <v>218</v>
      </c>
      <c r="F135" s="214" t="s">
        <v>218</v>
      </c>
      <c r="G135" s="230" t="s">
        <v>218</v>
      </c>
      <c r="H135" s="214" t="s">
        <v>218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212</v>
      </c>
      <c r="P135" s="191" t="s">
        <v>135</v>
      </c>
      <c r="Q135" s="191">
        <v>0</v>
      </c>
      <c r="R135" s="191">
        <v>0</v>
      </c>
      <c r="S135" s="191">
        <v>0</v>
      </c>
      <c r="T135" s="233" t="s">
        <v>218</v>
      </c>
      <c r="U135" s="230" t="s">
        <v>218</v>
      </c>
      <c r="V135" s="191">
        <v>1</v>
      </c>
      <c r="W135" s="191">
        <v>1</v>
      </c>
      <c r="X135" s="233" t="s">
        <v>218</v>
      </c>
      <c r="Y135" s="230" t="s">
        <v>218</v>
      </c>
      <c r="Z135" s="191">
        <v>0</v>
      </c>
      <c r="AA135" s="191" t="s">
        <v>134</v>
      </c>
      <c r="AB135" s="221" t="s">
        <v>130</v>
      </c>
      <c r="AC135" s="241"/>
      <c r="AE135" s="183" t="s">
        <v>201</v>
      </c>
      <c r="AG135" s="183" t="str">
        <f t="shared" si="4"/>
        <v xml:space="preserve">[x,x,x,x,x,0,0,1,0,0]-&gt;[0,0,0,x,x,1,1,x,x,0];   </v>
      </c>
    </row>
    <row r="136" spans="1:33" ht="15.75" hidden="1" thickBot="1" x14ac:dyDescent="0.3">
      <c r="A136" s="248"/>
      <c r="B136" s="191"/>
      <c r="C136" s="220" t="s">
        <v>135</v>
      </c>
      <c r="D136" s="287" t="s">
        <v>218</v>
      </c>
      <c r="E136" s="233" t="s">
        <v>218</v>
      </c>
      <c r="F136" s="214" t="s">
        <v>218</v>
      </c>
      <c r="G136" s="230" t="s">
        <v>218</v>
      </c>
      <c r="H136" s="214" t="s">
        <v>218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212</v>
      </c>
      <c r="P136" s="191" t="s">
        <v>135</v>
      </c>
      <c r="Q136" s="191">
        <v>0</v>
      </c>
      <c r="R136" s="191">
        <v>0</v>
      </c>
      <c r="S136" s="191">
        <v>1</v>
      </c>
      <c r="T136" s="233" t="s">
        <v>218</v>
      </c>
      <c r="U136" s="230" t="s">
        <v>218</v>
      </c>
      <c r="V136" s="191">
        <v>1</v>
      </c>
      <c r="W136" s="191">
        <v>1</v>
      </c>
      <c r="X136" s="233" t="s">
        <v>218</v>
      </c>
      <c r="Y136" s="230" t="s">
        <v>218</v>
      </c>
      <c r="Z136" s="191">
        <v>0</v>
      </c>
      <c r="AA136" s="191" t="s">
        <v>134</v>
      </c>
      <c r="AB136" s="221" t="s">
        <v>130</v>
      </c>
      <c r="AC136" s="241"/>
      <c r="AG136" s="183" t="str">
        <f t="shared" si="4"/>
        <v xml:space="preserve">[x,x,x,x,x,0,0,1,0,1]-&gt;[0,0,1,x,x,1,1,x,x,0];   </v>
      </c>
    </row>
    <row r="137" spans="1:33" ht="15.75" hidden="1" thickBot="1" x14ac:dyDescent="0.3">
      <c r="A137" s="248"/>
      <c r="B137" s="191"/>
      <c r="C137" s="220" t="s">
        <v>135</v>
      </c>
      <c r="D137" s="287" t="s">
        <v>218</v>
      </c>
      <c r="E137" s="233" t="s">
        <v>218</v>
      </c>
      <c r="F137" s="214" t="s">
        <v>218</v>
      </c>
      <c r="G137" s="230" t="s">
        <v>218</v>
      </c>
      <c r="H137" s="214" t="s">
        <v>218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212</v>
      </c>
      <c r="P137" s="191" t="s">
        <v>135</v>
      </c>
      <c r="Q137" s="191">
        <v>0</v>
      </c>
      <c r="R137" s="191">
        <v>1</v>
      </c>
      <c r="S137" s="191">
        <v>0</v>
      </c>
      <c r="T137" s="233" t="s">
        <v>218</v>
      </c>
      <c r="U137" s="230" t="s">
        <v>218</v>
      </c>
      <c r="V137" s="191">
        <v>1</v>
      </c>
      <c r="W137" s="191">
        <v>1</v>
      </c>
      <c r="X137" s="233" t="s">
        <v>218</v>
      </c>
      <c r="Y137" s="230" t="s">
        <v>218</v>
      </c>
      <c r="Z137" s="191">
        <v>0</v>
      </c>
      <c r="AA137" s="191" t="s">
        <v>134</v>
      </c>
      <c r="AB137" s="221" t="s">
        <v>130</v>
      </c>
      <c r="AC137" s="241"/>
      <c r="AE137" s="183" t="s">
        <v>199</v>
      </c>
      <c r="AG137" s="183" t="str">
        <f t="shared" si="4"/>
        <v xml:space="preserve">[x,x,x,x,x,0,0,1,1,0]-&gt;[0,1,0,x,x,1,1,x,x,0];   </v>
      </c>
    </row>
    <row r="138" spans="1:33" ht="15.75" hidden="1" thickBot="1" x14ac:dyDescent="0.3">
      <c r="A138" s="248"/>
      <c r="B138" s="191"/>
      <c r="C138" s="220" t="s">
        <v>135</v>
      </c>
      <c r="D138" s="287" t="s">
        <v>218</v>
      </c>
      <c r="E138" s="233" t="s">
        <v>218</v>
      </c>
      <c r="F138" s="214" t="s">
        <v>218</v>
      </c>
      <c r="G138" s="230" t="s">
        <v>218</v>
      </c>
      <c r="H138" s="214" t="s">
        <v>218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212</v>
      </c>
      <c r="P138" s="191" t="s">
        <v>135</v>
      </c>
      <c r="Q138" s="191">
        <v>0</v>
      </c>
      <c r="R138" s="191">
        <v>1</v>
      </c>
      <c r="S138" s="191">
        <v>1</v>
      </c>
      <c r="T138" s="233" t="s">
        <v>218</v>
      </c>
      <c r="U138" s="230" t="s">
        <v>218</v>
      </c>
      <c r="V138" s="191">
        <v>1</v>
      </c>
      <c r="W138" s="191">
        <v>1</v>
      </c>
      <c r="X138" s="233" t="s">
        <v>218</v>
      </c>
      <c r="Y138" s="230" t="s">
        <v>218</v>
      </c>
      <c r="Z138" s="191">
        <v>0</v>
      </c>
      <c r="AA138" s="191" t="s">
        <v>134</v>
      </c>
      <c r="AB138" s="221" t="s">
        <v>130</v>
      </c>
      <c r="AC138" s="241"/>
      <c r="AG138" s="183" t="str">
        <f t="shared" si="4"/>
        <v xml:space="preserve">[x,x,x,x,x,0,0,1,1,1]-&gt;[0,1,1,x,x,1,1,x,x,0];   </v>
      </c>
    </row>
    <row r="139" spans="1:33" ht="15.75" hidden="1" thickBot="1" x14ac:dyDescent="0.3">
      <c r="A139" s="248"/>
      <c r="B139" s="191"/>
      <c r="C139" s="220" t="s">
        <v>135</v>
      </c>
      <c r="D139" s="288">
        <v>1</v>
      </c>
      <c r="E139" s="233" t="s">
        <v>218</v>
      </c>
      <c r="F139" s="214" t="s">
        <v>218</v>
      </c>
      <c r="G139" s="288">
        <v>1</v>
      </c>
      <c r="H139" s="214" t="s">
        <v>218</v>
      </c>
      <c r="I139" s="191">
        <v>0</v>
      </c>
      <c r="J139" s="191">
        <v>1</v>
      </c>
      <c r="K139" s="191">
        <v>0</v>
      </c>
      <c r="L139" s="191">
        <v>0</v>
      </c>
      <c r="M139" s="191">
        <v>0</v>
      </c>
      <c r="N139" s="191" t="s">
        <v>134</v>
      </c>
      <c r="O139" s="211" t="s">
        <v>212</v>
      </c>
      <c r="P139" s="191" t="s">
        <v>135</v>
      </c>
      <c r="Q139" s="191">
        <v>0</v>
      </c>
      <c r="R139" s="191">
        <v>0</v>
      </c>
      <c r="S139" s="191">
        <v>0</v>
      </c>
      <c r="T139" s="233" t="s">
        <v>218</v>
      </c>
      <c r="U139" s="230" t="s">
        <v>218</v>
      </c>
      <c r="V139" s="191">
        <v>1</v>
      </c>
      <c r="W139" s="191">
        <v>1</v>
      </c>
      <c r="X139" s="233" t="s">
        <v>218</v>
      </c>
      <c r="Y139" s="230" t="s">
        <v>218</v>
      </c>
      <c r="Z139" s="191">
        <v>0</v>
      </c>
      <c r="AA139" s="191" t="s">
        <v>134</v>
      </c>
      <c r="AB139" s="221" t="s">
        <v>130</v>
      </c>
      <c r="AC139" s="241"/>
      <c r="AE139" s="183" t="s">
        <v>196</v>
      </c>
      <c r="AG139" s="183" t="str">
        <f t="shared" si="4"/>
        <v xml:space="preserve">[1,x,x,1,x,0,1,0,0,0]-&gt;[0,0,0,x,x,1,1,x,x,0];   </v>
      </c>
    </row>
    <row r="140" spans="1:33" ht="15.75" hidden="1" thickBot="1" x14ac:dyDescent="0.3">
      <c r="A140" s="248"/>
      <c r="B140" s="191"/>
      <c r="C140" s="220" t="s">
        <v>135</v>
      </c>
      <c r="D140" s="289">
        <v>1</v>
      </c>
      <c r="E140" s="233" t="s">
        <v>218</v>
      </c>
      <c r="F140" s="214" t="s">
        <v>218</v>
      </c>
      <c r="G140" s="289">
        <v>1</v>
      </c>
      <c r="H140" s="214" t="s">
        <v>218</v>
      </c>
      <c r="I140" s="191">
        <v>0</v>
      </c>
      <c r="J140" s="191">
        <v>1</v>
      </c>
      <c r="K140" s="191">
        <v>0</v>
      </c>
      <c r="L140" s="191">
        <v>0</v>
      </c>
      <c r="M140" s="191">
        <v>1</v>
      </c>
      <c r="N140" s="191" t="s">
        <v>134</v>
      </c>
      <c r="O140" s="211" t="s">
        <v>212</v>
      </c>
      <c r="P140" s="191" t="s">
        <v>135</v>
      </c>
      <c r="Q140" s="191">
        <v>0</v>
      </c>
      <c r="R140" s="191">
        <v>0</v>
      </c>
      <c r="S140" s="191">
        <v>1</v>
      </c>
      <c r="T140" s="233" t="s">
        <v>218</v>
      </c>
      <c r="U140" s="230" t="s">
        <v>218</v>
      </c>
      <c r="V140" s="191">
        <v>1</v>
      </c>
      <c r="W140" s="191">
        <v>1</v>
      </c>
      <c r="X140" s="233" t="s">
        <v>218</v>
      </c>
      <c r="Y140" s="230" t="s">
        <v>218</v>
      </c>
      <c r="Z140" s="191">
        <v>0</v>
      </c>
      <c r="AA140" s="191" t="s">
        <v>134</v>
      </c>
      <c r="AB140" s="221" t="s">
        <v>130</v>
      </c>
      <c r="AC140" s="241"/>
      <c r="AG140" s="183" t="str">
        <f t="shared" si="4"/>
        <v xml:space="preserve">[1,x,x,1,x,0,1,0,0,1]-&gt;[0,0,1,x,x,1,1,x,x,0];   </v>
      </c>
    </row>
    <row r="141" spans="1:33" ht="15.75" hidden="1" thickBot="1" x14ac:dyDescent="0.3">
      <c r="A141" s="248"/>
      <c r="B141" s="191"/>
      <c r="C141" s="220" t="s">
        <v>135</v>
      </c>
      <c r="D141" s="289">
        <v>1</v>
      </c>
      <c r="E141" s="233" t="s">
        <v>218</v>
      </c>
      <c r="F141" s="214" t="s">
        <v>218</v>
      </c>
      <c r="G141" s="289">
        <v>1</v>
      </c>
      <c r="H141" s="214" t="s">
        <v>218</v>
      </c>
      <c r="I141" s="191">
        <v>0</v>
      </c>
      <c r="J141" s="191">
        <v>1</v>
      </c>
      <c r="K141" s="191">
        <v>0</v>
      </c>
      <c r="L141" s="191">
        <v>1</v>
      </c>
      <c r="M141" s="191">
        <v>0</v>
      </c>
      <c r="N141" s="191" t="s">
        <v>134</v>
      </c>
      <c r="O141" s="211" t="s">
        <v>212</v>
      </c>
      <c r="P141" s="191" t="s">
        <v>135</v>
      </c>
      <c r="Q141" s="191">
        <v>0</v>
      </c>
      <c r="R141" s="191">
        <v>1</v>
      </c>
      <c r="S141" s="191">
        <v>0</v>
      </c>
      <c r="T141" s="233" t="s">
        <v>218</v>
      </c>
      <c r="U141" s="230" t="s">
        <v>218</v>
      </c>
      <c r="V141" s="191">
        <v>1</v>
      </c>
      <c r="W141" s="191">
        <v>1</v>
      </c>
      <c r="X141" s="233" t="s">
        <v>218</v>
      </c>
      <c r="Y141" s="230" t="s">
        <v>218</v>
      </c>
      <c r="Z141" s="191">
        <v>0</v>
      </c>
      <c r="AA141" s="191" t="s">
        <v>134</v>
      </c>
      <c r="AB141" s="221" t="s">
        <v>130</v>
      </c>
      <c r="AC141" s="241"/>
      <c r="AE141" s="183" t="s">
        <v>194</v>
      </c>
      <c r="AG141" s="183" t="str">
        <f t="shared" si="4"/>
        <v xml:space="preserve">[1,x,x,1,x,0,1,0,1,0]-&gt;[0,1,0,x,x,1,1,x,x,0];   </v>
      </c>
    </row>
    <row r="142" spans="1:33" ht="15.75" hidden="1" thickBot="1" x14ac:dyDescent="0.3">
      <c r="A142" s="248"/>
      <c r="B142" s="191"/>
      <c r="C142" s="220" t="s">
        <v>135</v>
      </c>
      <c r="D142" s="289">
        <v>1</v>
      </c>
      <c r="E142" s="233" t="s">
        <v>218</v>
      </c>
      <c r="F142" s="214" t="s">
        <v>218</v>
      </c>
      <c r="G142" s="289">
        <v>1</v>
      </c>
      <c r="H142" s="214" t="s">
        <v>218</v>
      </c>
      <c r="I142" s="191">
        <v>0</v>
      </c>
      <c r="J142" s="191">
        <v>1</v>
      </c>
      <c r="K142" s="191">
        <v>0</v>
      </c>
      <c r="L142" s="191">
        <v>1</v>
      </c>
      <c r="M142" s="191">
        <v>1</v>
      </c>
      <c r="N142" s="191" t="s">
        <v>134</v>
      </c>
      <c r="O142" s="211" t="s">
        <v>212</v>
      </c>
      <c r="P142" s="191" t="s">
        <v>135</v>
      </c>
      <c r="Q142" s="191">
        <v>0</v>
      </c>
      <c r="R142" s="191">
        <v>1</v>
      </c>
      <c r="S142" s="191">
        <v>1</v>
      </c>
      <c r="T142" s="233" t="s">
        <v>218</v>
      </c>
      <c r="U142" s="230" t="s">
        <v>218</v>
      </c>
      <c r="V142" s="191">
        <v>1</v>
      </c>
      <c r="W142" s="191">
        <v>1</v>
      </c>
      <c r="X142" s="233" t="s">
        <v>218</v>
      </c>
      <c r="Y142" s="230" t="s">
        <v>218</v>
      </c>
      <c r="Z142" s="191">
        <v>0</v>
      </c>
      <c r="AA142" s="191" t="s">
        <v>134</v>
      </c>
      <c r="AB142" s="221" t="s">
        <v>130</v>
      </c>
      <c r="AC142" s="241"/>
      <c r="AG142" s="183" t="str">
        <f t="shared" si="4"/>
        <v xml:space="preserve">[1,x,x,1,x,0,1,0,1,1]-&gt;[0,1,1,x,x,1,1,x,x,0];   </v>
      </c>
    </row>
    <row r="143" spans="1:33" ht="15.75" hidden="1" thickBot="1" x14ac:dyDescent="0.3">
      <c r="A143" s="248"/>
      <c r="B143" s="191"/>
      <c r="C143" s="220" t="s">
        <v>135</v>
      </c>
      <c r="D143" s="289">
        <v>1</v>
      </c>
      <c r="E143" s="233" t="s">
        <v>218</v>
      </c>
      <c r="F143" s="214" t="s">
        <v>218</v>
      </c>
      <c r="G143" s="289">
        <v>1</v>
      </c>
      <c r="H143" s="214" t="s">
        <v>218</v>
      </c>
      <c r="I143" s="191">
        <v>0</v>
      </c>
      <c r="J143" s="191">
        <v>1</v>
      </c>
      <c r="K143" s="191">
        <v>1</v>
      </c>
      <c r="L143" s="191">
        <v>0</v>
      </c>
      <c r="M143" s="191">
        <v>0</v>
      </c>
      <c r="N143" s="191" t="s">
        <v>134</v>
      </c>
      <c r="O143" s="211" t="s">
        <v>212</v>
      </c>
      <c r="P143" s="191" t="s">
        <v>135</v>
      </c>
      <c r="Q143" s="191">
        <v>0</v>
      </c>
      <c r="R143" s="191">
        <v>0</v>
      </c>
      <c r="S143" s="191">
        <v>0</v>
      </c>
      <c r="T143" s="233" t="s">
        <v>218</v>
      </c>
      <c r="U143" s="230" t="s">
        <v>218</v>
      </c>
      <c r="V143" s="191">
        <v>1</v>
      </c>
      <c r="W143" s="191">
        <v>1</v>
      </c>
      <c r="X143" s="233" t="s">
        <v>218</v>
      </c>
      <c r="Y143" s="230" t="s">
        <v>218</v>
      </c>
      <c r="Z143" s="191">
        <v>0</v>
      </c>
      <c r="AA143" s="191" t="s">
        <v>134</v>
      </c>
      <c r="AB143" s="221" t="s">
        <v>130</v>
      </c>
      <c r="AC143" s="241"/>
      <c r="AE143" s="183" t="s">
        <v>191</v>
      </c>
      <c r="AG143" s="183" t="str">
        <f t="shared" si="4"/>
        <v xml:space="preserve">[1,x,x,1,x,0,1,1,0,0]-&gt;[0,0,0,x,x,1,1,x,x,0];   </v>
      </c>
    </row>
    <row r="144" spans="1:33" ht="15.75" hidden="1" thickBot="1" x14ac:dyDescent="0.3">
      <c r="A144" s="248"/>
      <c r="B144" s="191"/>
      <c r="C144" s="220" t="s">
        <v>135</v>
      </c>
      <c r="D144" s="289">
        <v>1</v>
      </c>
      <c r="E144" s="233" t="s">
        <v>218</v>
      </c>
      <c r="F144" s="214" t="s">
        <v>218</v>
      </c>
      <c r="G144" s="289">
        <v>1</v>
      </c>
      <c r="H144" s="214" t="s">
        <v>218</v>
      </c>
      <c r="I144" s="191">
        <v>0</v>
      </c>
      <c r="J144" s="191">
        <v>1</v>
      </c>
      <c r="K144" s="191">
        <v>1</v>
      </c>
      <c r="L144" s="191">
        <v>0</v>
      </c>
      <c r="M144" s="191">
        <v>1</v>
      </c>
      <c r="N144" s="191" t="s">
        <v>134</v>
      </c>
      <c r="O144" s="211" t="s">
        <v>212</v>
      </c>
      <c r="P144" s="191" t="s">
        <v>135</v>
      </c>
      <c r="Q144" s="191">
        <v>0</v>
      </c>
      <c r="R144" s="191">
        <v>0</v>
      </c>
      <c r="S144" s="191">
        <v>1</v>
      </c>
      <c r="T144" s="233" t="s">
        <v>218</v>
      </c>
      <c r="U144" s="230" t="s">
        <v>218</v>
      </c>
      <c r="V144" s="191">
        <v>1</v>
      </c>
      <c r="W144" s="191">
        <v>1</v>
      </c>
      <c r="X144" s="233" t="s">
        <v>218</v>
      </c>
      <c r="Y144" s="230" t="s">
        <v>218</v>
      </c>
      <c r="Z144" s="191">
        <v>0</v>
      </c>
      <c r="AA144" s="191" t="s">
        <v>134</v>
      </c>
      <c r="AB144" s="221" t="s">
        <v>130</v>
      </c>
      <c r="AC144" s="241"/>
      <c r="AG144" s="183" t="str">
        <f t="shared" si="4"/>
        <v xml:space="preserve">[1,x,x,1,x,0,1,1,0,1]-&gt;[0,0,1,x,x,1,1,x,x,0];   </v>
      </c>
    </row>
    <row r="145" spans="1:33" ht="15.75" hidden="1" thickBot="1" x14ac:dyDescent="0.3">
      <c r="A145" s="248"/>
      <c r="B145" s="191"/>
      <c r="C145" s="220" t="s">
        <v>135</v>
      </c>
      <c r="D145" s="289">
        <v>1</v>
      </c>
      <c r="E145" s="233" t="s">
        <v>218</v>
      </c>
      <c r="F145" s="214" t="s">
        <v>218</v>
      </c>
      <c r="G145" s="289">
        <v>1</v>
      </c>
      <c r="H145" s="214" t="s">
        <v>218</v>
      </c>
      <c r="I145" s="191">
        <v>0</v>
      </c>
      <c r="J145" s="191">
        <v>1</v>
      </c>
      <c r="K145" s="191">
        <v>1</v>
      </c>
      <c r="L145" s="191">
        <v>1</v>
      </c>
      <c r="M145" s="191">
        <v>0</v>
      </c>
      <c r="N145" s="191" t="s">
        <v>134</v>
      </c>
      <c r="O145" s="211" t="s">
        <v>212</v>
      </c>
      <c r="P145" s="191" t="s">
        <v>135</v>
      </c>
      <c r="Q145" s="191">
        <v>0</v>
      </c>
      <c r="R145" s="191">
        <v>1</v>
      </c>
      <c r="S145" s="191">
        <v>0</v>
      </c>
      <c r="T145" s="233" t="s">
        <v>218</v>
      </c>
      <c r="U145" s="230" t="s">
        <v>218</v>
      </c>
      <c r="V145" s="191">
        <v>1</v>
      </c>
      <c r="W145" s="191">
        <v>1</v>
      </c>
      <c r="X145" s="233" t="s">
        <v>218</v>
      </c>
      <c r="Y145" s="230" t="s">
        <v>218</v>
      </c>
      <c r="Z145" s="191">
        <v>0</v>
      </c>
      <c r="AA145" s="191" t="s">
        <v>134</v>
      </c>
      <c r="AB145" s="221" t="s">
        <v>130</v>
      </c>
      <c r="AC145" s="241"/>
      <c r="AE145" s="183" t="s">
        <v>188</v>
      </c>
      <c r="AG145" s="183" t="str">
        <f t="shared" si="4"/>
        <v xml:space="preserve">[1,x,x,1,x,0,1,1,1,0]-&gt;[0,1,0,x,x,1,1,x,x,0];   </v>
      </c>
    </row>
    <row r="146" spans="1:33" ht="15.75" hidden="1" thickBot="1" x14ac:dyDescent="0.3">
      <c r="A146" s="248"/>
      <c r="B146" s="191"/>
      <c r="C146" s="220" t="s">
        <v>135</v>
      </c>
      <c r="D146" s="289">
        <v>1</v>
      </c>
      <c r="E146" s="233" t="s">
        <v>218</v>
      </c>
      <c r="F146" s="214" t="s">
        <v>218</v>
      </c>
      <c r="G146" s="290">
        <v>1</v>
      </c>
      <c r="H146" s="214" t="s">
        <v>218</v>
      </c>
      <c r="I146" s="191">
        <v>0</v>
      </c>
      <c r="J146" s="191">
        <v>1</v>
      </c>
      <c r="K146" s="191">
        <v>1</v>
      </c>
      <c r="L146" s="191">
        <v>1</v>
      </c>
      <c r="M146" s="191">
        <v>1</v>
      </c>
      <c r="N146" s="191" t="s">
        <v>134</v>
      </c>
      <c r="O146" s="211" t="s">
        <v>212</v>
      </c>
      <c r="P146" s="191" t="s">
        <v>135</v>
      </c>
      <c r="Q146" s="191">
        <v>0</v>
      </c>
      <c r="R146" s="191">
        <v>1</v>
      </c>
      <c r="S146" s="191">
        <v>1</v>
      </c>
      <c r="T146" s="233" t="s">
        <v>218</v>
      </c>
      <c r="U146" s="230" t="s">
        <v>218</v>
      </c>
      <c r="V146" s="191">
        <v>1</v>
      </c>
      <c r="W146" s="191">
        <v>1</v>
      </c>
      <c r="X146" s="233" t="s">
        <v>218</v>
      </c>
      <c r="Y146" s="230" t="s">
        <v>218</v>
      </c>
      <c r="Z146" s="191">
        <v>0</v>
      </c>
      <c r="AA146" s="191" t="s">
        <v>134</v>
      </c>
      <c r="AB146" s="221" t="s">
        <v>130</v>
      </c>
      <c r="AC146" s="241"/>
      <c r="AG146" s="183" t="str">
        <f t="shared" si="4"/>
        <v xml:space="preserve">[1,x,x,1,x,0,1,1,1,1]-&gt;[0,1,1,x,x,1,1,x,x,0];   </v>
      </c>
    </row>
    <row r="147" spans="1:33" ht="15.75" hidden="1" thickBot="1" x14ac:dyDescent="0.3">
      <c r="A147" s="248"/>
      <c r="B147" s="191"/>
      <c r="C147" s="220" t="s">
        <v>135</v>
      </c>
      <c r="D147" s="289">
        <v>1</v>
      </c>
      <c r="E147" s="233" t="s">
        <v>218</v>
      </c>
      <c r="F147" s="214" t="s">
        <v>218</v>
      </c>
      <c r="G147" s="214" t="s">
        <v>218</v>
      </c>
      <c r="H147" s="214" t="s">
        <v>218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212</v>
      </c>
      <c r="P147" s="191" t="s">
        <v>135</v>
      </c>
      <c r="Q147" s="191">
        <v>1</v>
      </c>
      <c r="R147" s="191">
        <v>0</v>
      </c>
      <c r="S147" s="191">
        <v>0</v>
      </c>
      <c r="T147" s="233" t="s">
        <v>218</v>
      </c>
      <c r="U147" s="230" t="s">
        <v>218</v>
      </c>
      <c r="V147" s="191">
        <v>1</v>
      </c>
      <c r="W147" s="191">
        <v>1</v>
      </c>
      <c r="X147" s="233" t="s">
        <v>218</v>
      </c>
      <c r="Y147" s="230" t="s">
        <v>218</v>
      </c>
      <c r="Z147" s="191">
        <v>0</v>
      </c>
      <c r="AA147" s="191" t="s">
        <v>134</v>
      </c>
      <c r="AB147" s="221" t="s">
        <v>130</v>
      </c>
      <c r="AC147" s="241"/>
      <c r="AE147" s="183" t="s">
        <v>183</v>
      </c>
      <c r="AG147" s="183" t="str">
        <f t="shared" si="4"/>
        <v xml:space="preserve">[1,x,x,x,x,1,0,0,0,0]-&gt;[1,0,0,x,x,1,1,x,x,0];   </v>
      </c>
    </row>
    <row r="148" spans="1:33" ht="15.75" hidden="1" thickBot="1" x14ac:dyDescent="0.3">
      <c r="A148" s="248"/>
      <c r="B148" s="191"/>
      <c r="C148" s="220" t="s">
        <v>135</v>
      </c>
      <c r="D148" s="289">
        <v>1</v>
      </c>
      <c r="E148" s="233" t="s">
        <v>218</v>
      </c>
      <c r="F148" s="214" t="s">
        <v>218</v>
      </c>
      <c r="G148" s="214" t="s">
        <v>218</v>
      </c>
      <c r="H148" s="214" t="s">
        <v>218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212</v>
      </c>
      <c r="P148" s="191" t="s">
        <v>135</v>
      </c>
      <c r="Q148" s="191">
        <v>1</v>
      </c>
      <c r="R148" s="191">
        <v>0</v>
      </c>
      <c r="S148" s="191">
        <v>1</v>
      </c>
      <c r="T148" s="233" t="s">
        <v>218</v>
      </c>
      <c r="U148" s="230" t="s">
        <v>218</v>
      </c>
      <c r="V148" s="191">
        <v>1</v>
      </c>
      <c r="W148" s="191">
        <v>1</v>
      </c>
      <c r="X148" s="233" t="s">
        <v>218</v>
      </c>
      <c r="Y148" s="230" t="s">
        <v>218</v>
      </c>
      <c r="Z148" s="191">
        <v>0</v>
      </c>
      <c r="AA148" s="191" t="s">
        <v>134</v>
      </c>
      <c r="AB148" s="221" t="s">
        <v>130</v>
      </c>
      <c r="AC148" s="241"/>
      <c r="AG148" s="183" t="str">
        <f t="shared" si="4"/>
        <v xml:space="preserve">[1,x,x,x,x,1,0,0,0,1]-&gt;[1,0,1,x,x,1,1,x,x,0];   </v>
      </c>
    </row>
    <row r="149" spans="1:33" ht="15.75" hidden="1" thickBot="1" x14ac:dyDescent="0.3">
      <c r="A149" s="248"/>
      <c r="B149" s="191"/>
      <c r="C149" s="220" t="s">
        <v>135</v>
      </c>
      <c r="D149" s="289">
        <v>1</v>
      </c>
      <c r="E149" s="233" t="s">
        <v>218</v>
      </c>
      <c r="F149" s="214" t="s">
        <v>218</v>
      </c>
      <c r="G149" s="214" t="s">
        <v>218</v>
      </c>
      <c r="H149" s="214" t="s">
        <v>218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212</v>
      </c>
      <c r="P149" s="191" t="s">
        <v>135</v>
      </c>
      <c r="Q149" s="191">
        <v>1</v>
      </c>
      <c r="R149" s="191">
        <v>1</v>
      </c>
      <c r="S149" s="191">
        <v>0</v>
      </c>
      <c r="T149" s="233" t="s">
        <v>218</v>
      </c>
      <c r="U149" s="230" t="s">
        <v>218</v>
      </c>
      <c r="V149" s="191">
        <v>1</v>
      </c>
      <c r="W149" s="191">
        <v>1</v>
      </c>
      <c r="X149" s="233" t="s">
        <v>218</v>
      </c>
      <c r="Y149" s="230" t="s">
        <v>218</v>
      </c>
      <c r="Z149" s="191">
        <v>0</v>
      </c>
      <c r="AA149" s="191" t="s">
        <v>134</v>
      </c>
      <c r="AB149" s="221" t="s">
        <v>130</v>
      </c>
      <c r="AC149" s="241"/>
      <c r="AE149" s="183" t="s">
        <v>181</v>
      </c>
      <c r="AG149" s="183" t="str">
        <f t="shared" si="4"/>
        <v xml:space="preserve">[1,x,x,x,x,1,0,0,1,0]-&gt;[1,1,0,x,x,1,1,x,x,0];   </v>
      </c>
    </row>
    <row r="150" spans="1:33" ht="15.75" hidden="1" thickBot="1" x14ac:dyDescent="0.3">
      <c r="A150" s="248"/>
      <c r="B150" s="191"/>
      <c r="C150" s="220" t="s">
        <v>135</v>
      </c>
      <c r="D150" s="289">
        <v>1</v>
      </c>
      <c r="E150" s="233" t="s">
        <v>218</v>
      </c>
      <c r="F150" s="214" t="s">
        <v>218</v>
      </c>
      <c r="G150" s="214" t="s">
        <v>218</v>
      </c>
      <c r="H150" s="214" t="s">
        <v>218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212</v>
      </c>
      <c r="P150" s="191" t="s">
        <v>135</v>
      </c>
      <c r="Q150" s="191">
        <v>1</v>
      </c>
      <c r="R150" s="191">
        <v>1</v>
      </c>
      <c r="S150" s="191">
        <v>1</v>
      </c>
      <c r="T150" s="233" t="s">
        <v>218</v>
      </c>
      <c r="U150" s="230" t="s">
        <v>218</v>
      </c>
      <c r="V150" s="191">
        <v>1</v>
      </c>
      <c r="W150" s="191">
        <v>1</v>
      </c>
      <c r="X150" s="233" t="s">
        <v>218</v>
      </c>
      <c r="Y150" s="230" t="s">
        <v>218</v>
      </c>
      <c r="Z150" s="191">
        <v>0</v>
      </c>
      <c r="AA150" s="191" t="s">
        <v>134</v>
      </c>
      <c r="AB150" s="221" t="s">
        <v>130</v>
      </c>
      <c r="AC150" s="241"/>
      <c r="AG150" s="183" t="str">
        <f t="shared" si="4"/>
        <v xml:space="preserve">[1,x,x,x,x,1,0,0,1,1]-&gt;[1,1,1,x,x,1,1,x,x,0];   </v>
      </c>
    </row>
    <row r="151" spans="1:33" ht="15.75" hidden="1" thickBot="1" x14ac:dyDescent="0.3">
      <c r="A151" s="248"/>
      <c r="B151" s="191"/>
      <c r="C151" s="220" t="s">
        <v>135</v>
      </c>
      <c r="D151" s="289">
        <v>1</v>
      </c>
      <c r="E151" s="233" t="s">
        <v>218</v>
      </c>
      <c r="F151" s="214" t="s">
        <v>218</v>
      </c>
      <c r="G151" s="214" t="s">
        <v>218</v>
      </c>
      <c r="H151" s="214" t="s">
        <v>218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212</v>
      </c>
      <c r="P151" s="191" t="s">
        <v>135</v>
      </c>
      <c r="Q151" s="191">
        <v>1</v>
      </c>
      <c r="R151" s="191">
        <v>0</v>
      </c>
      <c r="S151" s="191">
        <v>0</v>
      </c>
      <c r="T151" s="233" t="s">
        <v>218</v>
      </c>
      <c r="U151" s="230" t="s">
        <v>218</v>
      </c>
      <c r="V151" s="191">
        <v>1</v>
      </c>
      <c r="W151" s="191">
        <v>1</v>
      </c>
      <c r="X151" s="233" t="s">
        <v>218</v>
      </c>
      <c r="Y151" s="230" t="s">
        <v>218</v>
      </c>
      <c r="Z151" s="191">
        <v>0</v>
      </c>
      <c r="AA151" s="191" t="s">
        <v>134</v>
      </c>
      <c r="AB151" s="221" t="s">
        <v>130</v>
      </c>
      <c r="AC151" s="241"/>
      <c r="AE151" s="183" t="s">
        <v>178</v>
      </c>
      <c r="AG151" s="183" t="str">
        <f t="shared" si="4"/>
        <v xml:space="preserve">[1,x,x,x,x,1,0,1,0,0]-&gt;[1,0,0,x,x,1,1,x,x,0];   </v>
      </c>
    </row>
    <row r="152" spans="1:33" ht="15.75" hidden="1" thickBot="1" x14ac:dyDescent="0.3">
      <c r="A152" s="248"/>
      <c r="B152" s="191"/>
      <c r="C152" s="220" t="s">
        <v>135</v>
      </c>
      <c r="D152" s="289">
        <v>1</v>
      </c>
      <c r="E152" s="233" t="s">
        <v>218</v>
      </c>
      <c r="F152" s="214" t="s">
        <v>218</v>
      </c>
      <c r="G152" s="214" t="s">
        <v>218</v>
      </c>
      <c r="H152" s="214" t="s">
        <v>218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212</v>
      </c>
      <c r="P152" s="191" t="s">
        <v>135</v>
      </c>
      <c r="Q152" s="191">
        <v>1</v>
      </c>
      <c r="R152" s="191">
        <v>0</v>
      </c>
      <c r="S152" s="191">
        <v>1</v>
      </c>
      <c r="T152" s="233" t="s">
        <v>218</v>
      </c>
      <c r="U152" s="230" t="s">
        <v>218</v>
      </c>
      <c r="V152" s="191">
        <v>1</v>
      </c>
      <c r="W152" s="191">
        <v>1</v>
      </c>
      <c r="X152" s="233" t="s">
        <v>218</v>
      </c>
      <c r="Y152" s="230" t="s">
        <v>218</v>
      </c>
      <c r="Z152" s="191">
        <v>0</v>
      </c>
      <c r="AA152" s="191" t="s">
        <v>134</v>
      </c>
      <c r="AB152" s="221" t="s">
        <v>130</v>
      </c>
      <c r="AC152" s="241"/>
      <c r="AG152" s="183" t="str">
        <f t="shared" si="4"/>
        <v xml:space="preserve">[1,x,x,x,x,1,0,1,0,1]-&gt;[1,0,1,x,x,1,1,x,x,0];   </v>
      </c>
    </row>
    <row r="153" spans="1:33" ht="15.75" hidden="1" thickBot="1" x14ac:dyDescent="0.3">
      <c r="A153" s="248"/>
      <c r="B153" s="191"/>
      <c r="C153" s="220" t="s">
        <v>135</v>
      </c>
      <c r="D153" s="289">
        <v>1</v>
      </c>
      <c r="E153" s="233" t="s">
        <v>218</v>
      </c>
      <c r="F153" s="214" t="s">
        <v>218</v>
      </c>
      <c r="G153" s="214" t="s">
        <v>218</v>
      </c>
      <c r="H153" s="214" t="s">
        <v>218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212</v>
      </c>
      <c r="P153" s="191" t="s">
        <v>135</v>
      </c>
      <c r="Q153" s="191">
        <v>1</v>
      </c>
      <c r="R153" s="191">
        <v>1</v>
      </c>
      <c r="S153" s="191">
        <v>0</v>
      </c>
      <c r="T153" s="233" t="s">
        <v>218</v>
      </c>
      <c r="U153" s="230" t="s">
        <v>218</v>
      </c>
      <c r="V153" s="191">
        <v>1</v>
      </c>
      <c r="W153" s="191">
        <v>1</v>
      </c>
      <c r="X153" s="233" t="s">
        <v>218</v>
      </c>
      <c r="Y153" s="230" t="s">
        <v>218</v>
      </c>
      <c r="Z153" s="191">
        <v>0</v>
      </c>
      <c r="AA153" s="191" t="s">
        <v>134</v>
      </c>
      <c r="AB153" s="221" t="s">
        <v>130</v>
      </c>
      <c r="AC153" s="241"/>
      <c r="AE153" s="183" t="s">
        <v>176</v>
      </c>
      <c r="AG153" s="183" t="str">
        <f t="shared" si="4"/>
        <v xml:space="preserve">[1,x,x,x,x,1,0,1,1,0]-&gt;[1,1,0,x,x,1,1,x,x,0];   </v>
      </c>
    </row>
    <row r="154" spans="1:33" ht="15.75" hidden="1" thickBot="1" x14ac:dyDescent="0.3">
      <c r="A154" s="248"/>
      <c r="B154" s="191"/>
      <c r="C154" s="220" t="s">
        <v>135</v>
      </c>
      <c r="D154" s="289">
        <v>1</v>
      </c>
      <c r="E154" s="233" t="s">
        <v>218</v>
      </c>
      <c r="F154" s="214" t="s">
        <v>218</v>
      </c>
      <c r="G154" s="214" t="s">
        <v>218</v>
      </c>
      <c r="H154" s="214" t="s">
        <v>218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212</v>
      </c>
      <c r="P154" s="191" t="s">
        <v>135</v>
      </c>
      <c r="Q154" s="191">
        <v>1</v>
      </c>
      <c r="R154" s="191">
        <v>1</v>
      </c>
      <c r="S154" s="191">
        <v>1</v>
      </c>
      <c r="T154" s="233" t="s">
        <v>218</v>
      </c>
      <c r="U154" s="230" t="s">
        <v>218</v>
      </c>
      <c r="V154" s="191">
        <v>1</v>
      </c>
      <c r="W154" s="191">
        <v>1</v>
      </c>
      <c r="X154" s="233" t="s">
        <v>218</v>
      </c>
      <c r="Y154" s="230" t="s">
        <v>218</v>
      </c>
      <c r="Z154" s="191">
        <v>0</v>
      </c>
      <c r="AA154" s="191" t="s">
        <v>134</v>
      </c>
      <c r="AB154" s="221" t="s">
        <v>130</v>
      </c>
      <c r="AC154" s="241"/>
      <c r="AG154" s="183" t="str">
        <f t="shared" si="4"/>
        <v xml:space="preserve">[1,x,x,x,x,1,0,1,1,1]-&gt;[1,1,1,x,x,1,1,x,x,0];   </v>
      </c>
    </row>
    <row r="155" spans="1:33" x14ac:dyDescent="0.25">
      <c r="A155" s="248"/>
      <c r="B155" s="191"/>
      <c r="C155" s="220" t="s">
        <v>135</v>
      </c>
      <c r="D155" s="289">
        <v>1</v>
      </c>
      <c r="E155" s="312">
        <v>1</v>
      </c>
      <c r="F155" s="214" t="s">
        <v>218</v>
      </c>
      <c r="G155" s="288">
        <v>1</v>
      </c>
      <c r="H155" s="312">
        <v>1</v>
      </c>
      <c r="I155" s="216">
        <v>1</v>
      </c>
      <c r="J155" s="217">
        <v>1</v>
      </c>
      <c r="K155" s="219">
        <v>0</v>
      </c>
      <c r="L155" s="191">
        <v>0</v>
      </c>
      <c r="M155" s="191">
        <v>0</v>
      </c>
      <c r="N155" s="191" t="s">
        <v>134</v>
      </c>
      <c r="O155" s="211" t="s">
        <v>212</v>
      </c>
      <c r="P155" s="191" t="s">
        <v>135</v>
      </c>
      <c r="Q155" s="235">
        <v>0</v>
      </c>
      <c r="R155" s="226">
        <v>1</v>
      </c>
      <c r="S155" s="236">
        <v>0</v>
      </c>
      <c r="T155" s="235">
        <v>0</v>
      </c>
      <c r="U155" s="236">
        <v>0</v>
      </c>
      <c r="V155" s="312">
        <v>0</v>
      </c>
      <c r="W155" s="191">
        <v>1</v>
      </c>
      <c r="X155" s="235">
        <v>0</v>
      </c>
      <c r="Y155" s="236">
        <v>0</v>
      </c>
      <c r="Z155" s="191">
        <v>0</v>
      </c>
      <c r="AA155" s="191" t="s">
        <v>134</v>
      </c>
      <c r="AB155" s="221" t="s">
        <v>130</v>
      </c>
      <c r="AC155" s="241" t="s">
        <v>216</v>
      </c>
      <c r="AD155" s="308" t="s">
        <v>275</v>
      </c>
      <c r="AE155" s="183" t="s">
        <v>172</v>
      </c>
      <c r="AG155" s="183" t="str">
        <f t="shared" si="4"/>
        <v>[1,1,x,1,1,1,1,0,0,0]-&gt;[0,1,0,0,0,0,1,0,0,0];   "Low-Rom auf ProfDos</v>
      </c>
    </row>
    <row r="156" spans="1:33" x14ac:dyDescent="0.25">
      <c r="A156" s="248"/>
      <c r="B156" s="191"/>
      <c r="C156" s="220" t="s">
        <v>135</v>
      </c>
      <c r="D156" s="289">
        <v>1</v>
      </c>
      <c r="E156" s="313">
        <v>1</v>
      </c>
      <c r="F156" s="214" t="s">
        <v>218</v>
      </c>
      <c r="G156" s="289">
        <v>1</v>
      </c>
      <c r="H156" s="313">
        <v>1</v>
      </c>
      <c r="I156" s="220">
        <v>1</v>
      </c>
      <c r="J156" s="191">
        <v>1</v>
      </c>
      <c r="K156" s="221">
        <v>0</v>
      </c>
      <c r="L156" s="191">
        <v>0</v>
      </c>
      <c r="M156" s="191">
        <v>1</v>
      </c>
      <c r="N156" s="191" t="s">
        <v>134</v>
      </c>
      <c r="O156" s="211" t="s">
        <v>212</v>
      </c>
      <c r="P156" s="191" t="s">
        <v>135</v>
      </c>
      <c r="Q156" s="237">
        <v>0</v>
      </c>
      <c r="R156" s="213">
        <v>1</v>
      </c>
      <c r="S156" s="238">
        <v>0</v>
      </c>
      <c r="T156" s="237">
        <v>0</v>
      </c>
      <c r="U156" s="238">
        <v>0</v>
      </c>
      <c r="V156" s="313">
        <v>0</v>
      </c>
      <c r="W156" s="191">
        <v>1</v>
      </c>
      <c r="X156" s="237">
        <v>0</v>
      </c>
      <c r="Y156" s="238">
        <v>0</v>
      </c>
      <c r="Z156" s="191">
        <v>0</v>
      </c>
      <c r="AA156" s="191" t="s">
        <v>134</v>
      </c>
      <c r="AB156" s="221" t="s">
        <v>130</v>
      </c>
      <c r="AD156" s="309"/>
      <c r="AG156" s="183" t="str">
        <f t="shared" si="4"/>
        <v xml:space="preserve">[1,1,x,1,1,1,1,0,0,1]-&gt;[0,1,0,0,0,0,1,0,0,0];   </v>
      </c>
    </row>
    <row r="157" spans="1:33" ht="15.75" customHeight="1" x14ac:dyDescent="0.25">
      <c r="A157" s="248"/>
      <c r="B157" s="191"/>
      <c r="C157" s="220" t="s">
        <v>135</v>
      </c>
      <c r="D157" s="289">
        <v>1</v>
      </c>
      <c r="E157" s="313">
        <v>1</v>
      </c>
      <c r="F157" s="214" t="s">
        <v>218</v>
      </c>
      <c r="G157" s="289">
        <v>1</v>
      </c>
      <c r="H157" s="313">
        <v>1</v>
      </c>
      <c r="I157" s="220">
        <v>1</v>
      </c>
      <c r="J157" s="191">
        <v>1</v>
      </c>
      <c r="K157" s="221">
        <v>0</v>
      </c>
      <c r="L157" s="191">
        <v>1</v>
      </c>
      <c r="M157" s="191">
        <v>0</v>
      </c>
      <c r="N157" s="191" t="s">
        <v>134</v>
      </c>
      <c r="O157" s="211" t="s">
        <v>212</v>
      </c>
      <c r="P157" s="191" t="s">
        <v>135</v>
      </c>
      <c r="Q157" s="237">
        <v>0</v>
      </c>
      <c r="R157" s="213">
        <v>1</v>
      </c>
      <c r="S157" s="238">
        <v>0</v>
      </c>
      <c r="T157" s="237">
        <v>0</v>
      </c>
      <c r="U157" s="238">
        <v>0</v>
      </c>
      <c r="V157" s="313">
        <v>0</v>
      </c>
      <c r="W157" s="191">
        <v>1</v>
      </c>
      <c r="X157" s="237">
        <v>0</v>
      </c>
      <c r="Y157" s="238">
        <v>0</v>
      </c>
      <c r="Z157" s="191">
        <v>0</v>
      </c>
      <c r="AA157" s="191" t="s">
        <v>134</v>
      </c>
      <c r="AB157" s="221" t="s">
        <v>130</v>
      </c>
      <c r="AC157" s="241"/>
      <c r="AD157" s="309"/>
      <c r="AE157" s="183" t="s">
        <v>170</v>
      </c>
      <c r="AG157" s="183" t="str">
        <f t="shared" si="4"/>
        <v xml:space="preserve">[1,1,x,1,1,1,1,0,1,0]-&gt;[0,1,0,0,0,0,1,0,0,0];   </v>
      </c>
    </row>
    <row r="158" spans="1:33" ht="15.75" thickBot="1" x14ac:dyDescent="0.3">
      <c r="A158" s="248"/>
      <c r="B158" s="191"/>
      <c r="C158" s="220" t="s">
        <v>135</v>
      </c>
      <c r="D158" s="289">
        <v>1</v>
      </c>
      <c r="E158" s="314">
        <v>1</v>
      </c>
      <c r="F158" s="214" t="s">
        <v>218</v>
      </c>
      <c r="G158" s="289">
        <v>1</v>
      </c>
      <c r="H158" s="314">
        <v>1</v>
      </c>
      <c r="I158" s="222">
        <v>1</v>
      </c>
      <c r="J158" s="223">
        <v>1</v>
      </c>
      <c r="K158" s="225">
        <v>0</v>
      </c>
      <c r="L158" s="191">
        <v>1</v>
      </c>
      <c r="M158" s="191">
        <v>1</v>
      </c>
      <c r="N158" s="191" t="s">
        <v>134</v>
      </c>
      <c r="O158" s="211" t="s">
        <v>212</v>
      </c>
      <c r="P158" s="191" t="s">
        <v>135</v>
      </c>
      <c r="Q158" s="239">
        <v>0</v>
      </c>
      <c r="R158" s="227">
        <v>1</v>
      </c>
      <c r="S158" s="240">
        <v>0</v>
      </c>
      <c r="T158" s="239">
        <v>0</v>
      </c>
      <c r="U158" s="240">
        <v>0</v>
      </c>
      <c r="V158" s="314">
        <v>0</v>
      </c>
      <c r="W158" s="191">
        <v>1</v>
      </c>
      <c r="X158" s="239">
        <v>0</v>
      </c>
      <c r="Y158" s="240">
        <v>0</v>
      </c>
      <c r="Z158" s="191">
        <v>0</v>
      </c>
      <c r="AA158" s="191" t="s">
        <v>134</v>
      </c>
      <c r="AB158" s="221" t="s">
        <v>130</v>
      </c>
      <c r="AC158" s="241"/>
      <c r="AD158" s="310"/>
      <c r="AG158" s="183" t="str">
        <f t="shared" si="4"/>
        <v xml:space="preserve">[1,1,x,1,1,1,1,0,1,1]-&gt;[0,1,0,0,0,0,1,0,0,0];   </v>
      </c>
    </row>
    <row r="159" spans="1:33" x14ac:dyDescent="0.25">
      <c r="A159" s="248"/>
      <c r="B159" s="191"/>
      <c r="C159" s="220" t="s">
        <v>135</v>
      </c>
      <c r="D159" s="289">
        <v>1</v>
      </c>
      <c r="E159" s="233" t="s">
        <v>218</v>
      </c>
      <c r="F159" s="214" t="s">
        <v>218</v>
      </c>
      <c r="G159" s="289">
        <v>1</v>
      </c>
      <c r="H159" s="312">
        <v>1</v>
      </c>
      <c r="I159" s="216">
        <v>1</v>
      </c>
      <c r="J159" s="217">
        <v>1</v>
      </c>
      <c r="K159" s="219">
        <v>1</v>
      </c>
      <c r="L159" s="191">
        <v>0</v>
      </c>
      <c r="M159" s="191">
        <v>0</v>
      </c>
      <c r="N159" s="191" t="s">
        <v>134</v>
      </c>
      <c r="O159" s="211" t="s">
        <v>212</v>
      </c>
      <c r="P159" s="191" t="s">
        <v>135</v>
      </c>
      <c r="Q159" s="237">
        <v>0</v>
      </c>
      <c r="R159" s="213">
        <v>1</v>
      </c>
      <c r="S159" s="238">
        <v>0</v>
      </c>
      <c r="T159" s="237">
        <v>0</v>
      </c>
      <c r="U159" s="238">
        <v>1</v>
      </c>
      <c r="V159" s="313">
        <v>0</v>
      </c>
      <c r="W159" s="191">
        <v>1</v>
      </c>
      <c r="X159" s="237">
        <v>0</v>
      </c>
      <c r="Y159" s="238">
        <v>0</v>
      </c>
      <c r="Z159" s="191">
        <v>0</v>
      </c>
      <c r="AA159" s="191" t="s">
        <v>134</v>
      </c>
      <c r="AB159" s="221" t="s">
        <v>130</v>
      </c>
      <c r="AC159" s="242" t="s">
        <v>216</v>
      </c>
      <c r="AD159" s="311" t="s">
        <v>280</v>
      </c>
      <c r="AE159" s="183" t="s">
        <v>168</v>
      </c>
      <c r="AG159" s="183" t="str">
        <f t="shared" si="4"/>
        <v>[1,x,x,1,1,1,1,1,0,0]-&gt;[0,1,0,0,1,0,1,0,0,0];   "High-Rom auf ProfDos (Speeddos)</v>
      </c>
    </row>
    <row r="160" spans="1:33" x14ac:dyDescent="0.25">
      <c r="A160" s="248"/>
      <c r="B160" s="191"/>
      <c r="C160" s="220" t="s">
        <v>135</v>
      </c>
      <c r="D160" s="289">
        <v>1</v>
      </c>
      <c r="E160" s="233" t="s">
        <v>218</v>
      </c>
      <c r="F160" s="214" t="s">
        <v>218</v>
      </c>
      <c r="G160" s="289">
        <v>1</v>
      </c>
      <c r="H160" s="313">
        <v>1</v>
      </c>
      <c r="I160" s="220">
        <v>1</v>
      </c>
      <c r="J160" s="191">
        <v>1</v>
      </c>
      <c r="K160" s="221">
        <v>1</v>
      </c>
      <c r="L160" s="191">
        <v>0</v>
      </c>
      <c r="M160" s="191">
        <v>1</v>
      </c>
      <c r="N160" s="191" t="s">
        <v>134</v>
      </c>
      <c r="O160" s="211" t="s">
        <v>212</v>
      </c>
      <c r="P160" s="191" t="s">
        <v>135</v>
      </c>
      <c r="Q160" s="237">
        <v>0</v>
      </c>
      <c r="R160" s="213">
        <v>1</v>
      </c>
      <c r="S160" s="238">
        <v>0</v>
      </c>
      <c r="T160" s="237">
        <v>0</v>
      </c>
      <c r="U160" s="238">
        <v>1</v>
      </c>
      <c r="V160" s="313">
        <v>0</v>
      </c>
      <c r="W160" s="191">
        <v>1</v>
      </c>
      <c r="X160" s="237">
        <v>0</v>
      </c>
      <c r="Y160" s="238">
        <v>0</v>
      </c>
      <c r="Z160" s="191">
        <v>0</v>
      </c>
      <c r="AA160" s="191" t="s">
        <v>134</v>
      </c>
      <c r="AB160" s="221" t="s">
        <v>130</v>
      </c>
      <c r="AD160" s="309"/>
      <c r="AG160" s="183" t="str">
        <f t="shared" si="4"/>
        <v xml:space="preserve">[1,x,x,1,1,1,1,1,0,1]-&gt;[0,1,0,0,1,0,1,0,0,0];   </v>
      </c>
    </row>
    <row r="161" spans="1:33" x14ac:dyDescent="0.25">
      <c r="A161" s="248"/>
      <c r="B161" s="191"/>
      <c r="C161" s="220" t="s">
        <v>135</v>
      </c>
      <c r="D161" s="289">
        <v>1</v>
      </c>
      <c r="E161" s="233" t="s">
        <v>218</v>
      </c>
      <c r="F161" s="214" t="s">
        <v>218</v>
      </c>
      <c r="G161" s="289">
        <v>1</v>
      </c>
      <c r="H161" s="313">
        <v>1</v>
      </c>
      <c r="I161" s="220">
        <v>1</v>
      </c>
      <c r="J161" s="191">
        <v>1</v>
      </c>
      <c r="K161" s="221">
        <v>1</v>
      </c>
      <c r="L161" s="191">
        <v>1</v>
      </c>
      <c r="M161" s="191">
        <v>0</v>
      </c>
      <c r="N161" s="191" t="s">
        <v>134</v>
      </c>
      <c r="O161" s="211" t="s">
        <v>212</v>
      </c>
      <c r="P161" s="191" t="s">
        <v>135</v>
      </c>
      <c r="Q161" s="237">
        <v>0</v>
      </c>
      <c r="R161" s="213">
        <v>1</v>
      </c>
      <c r="S161" s="238">
        <v>0</v>
      </c>
      <c r="T161" s="237">
        <v>0</v>
      </c>
      <c r="U161" s="238">
        <v>1</v>
      </c>
      <c r="V161" s="313">
        <v>0</v>
      </c>
      <c r="W161" s="191">
        <v>1</v>
      </c>
      <c r="X161" s="237">
        <v>0</v>
      </c>
      <c r="Y161" s="238">
        <v>0</v>
      </c>
      <c r="Z161" s="191">
        <v>0</v>
      </c>
      <c r="AA161" s="191" t="s">
        <v>134</v>
      </c>
      <c r="AB161" s="221" t="s">
        <v>130</v>
      </c>
      <c r="AC161" s="241"/>
      <c r="AD161" s="309"/>
      <c r="AE161" s="183" t="s">
        <v>166</v>
      </c>
      <c r="AG161" s="183" t="str">
        <f t="shared" si="4"/>
        <v xml:space="preserve">[1,x,x,1,1,1,1,1,1,0]-&gt;[0,1,0,0,1,0,1,0,0,0];   </v>
      </c>
    </row>
    <row r="162" spans="1:33" ht="15.75" thickBot="1" x14ac:dyDescent="0.3">
      <c r="A162" s="248"/>
      <c r="B162" s="191"/>
      <c r="C162" s="220" t="s">
        <v>135</v>
      </c>
      <c r="D162" s="290">
        <v>1</v>
      </c>
      <c r="E162" s="234" t="s">
        <v>218</v>
      </c>
      <c r="F162" s="229" t="s">
        <v>218</v>
      </c>
      <c r="G162" s="290">
        <v>1</v>
      </c>
      <c r="H162" s="314">
        <v>1</v>
      </c>
      <c r="I162" s="222">
        <v>1</v>
      </c>
      <c r="J162" s="223">
        <v>1</v>
      </c>
      <c r="K162" s="225">
        <v>1</v>
      </c>
      <c r="L162" s="223">
        <v>1</v>
      </c>
      <c r="M162" s="223">
        <v>1</v>
      </c>
      <c r="N162" s="223" t="s">
        <v>134</v>
      </c>
      <c r="O162" s="224" t="s">
        <v>212</v>
      </c>
      <c r="P162" s="223" t="s">
        <v>135</v>
      </c>
      <c r="Q162" s="237">
        <v>0</v>
      </c>
      <c r="R162" s="213">
        <v>1</v>
      </c>
      <c r="S162" s="238">
        <v>0</v>
      </c>
      <c r="T162" s="237">
        <v>0</v>
      </c>
      <c r="U162" s="238">
        <v>1</v>
      </c>
      <c r="V162" s="313">
        <v>0</v>
      </c>
      <c r="W162" s="191">
        <v>1</v>
      </c>
      <c r="X162" s="237">
        <v>0</v>
      </c>
      <c r="Y162" s="238">
        <v>0</v>
      </c>
      <c r="Z162" s="191">
        <v>0</v>
      </c>
      <c r="AA162" s="191" t="s">
        <v>134</v>
      </c>
      <c r="AB162" s="221" t="s">
        <v>130</v>
      </c>
      <c r="AC162" s="241"/>
      <c r="AD162" s="310"/>
      <c r="AG162" s="183" t="str">
        <f t="shared" si="4"/>
        <v xml:space="preserve">[1,x,x,1,1,1,1,1,1,1]-&gt;[0,1,0,0,1,0,1,0,0,0];   </v>
      </c>
    </row>
    <row r="163" spans="1:33" ht="15.75" hidden="1" thickBot="1" x14ac:dyDescent="0.3">
      <c r="A163" s="248"/>
      <c r="B163" s="191"/>
      <c r="C163" s="216" t="s">
        <v>135</v>
      </c>
      <c r="D163" s="295">
        <v>0</v>
      </c>
      <c r="E163" s="232" t="s">
        <v>218</v>
      </c>
      <c r="F163" s="228" t="s">
        <v>218</v>
      </c>
      <c r="G163" s="228" t="s">
        <v>218</v>
      </c>
      <c r="H163" s="270" t="s">
        <v>218</v>
      </c>
      <c r="I163" s="217">
        <v>0</v>
      </c>
      <c r="J163" s="217">
        <v>0</v>
      </c>
      <c r="K163" s="217">
        <v>0</v>
      </c>
      <c r="L163" s="217">
        <v>0</v>
      </c>
      <c r="M163" s="217">
        <v>0</v>
      </c>
      <c r="N163" s="217" t="s">
        <v>134</v>
      </c>
      <c r="O163" s="218" t="s">
        <v>212</v>
      </c>
      <c r="P163" s="217" t="s">
        <v>135</v>
      </c>
      <c r="Q163" s="217">
        <v>0</v>
      </c>
      <c r="R163" s="217">
        <v>0</v>
      </c>
      <c r="S163" s="217">
        <v>0</v>
      </c>
      <c r="T163" s="232" t="s">
        <v>218</v>
      </c>
      <c r="U163" s="270" t="s">
        <v>218</v>
      </c>
      <c r="V163" s="217">
        <v>1</v>
      </c>
      <c r="W163" s="217">
        <v>1</v>
      </c>
      <c r="X163" s="232" t="s">
        <v>218</v>
      </c>
      <c r="Y163" s="270" t="s">
        <v>218</v>
      </c>
      <c r="Z163" s="217">
        <v>0</v>
      </c>
      <c r="AA163" s="217" t="s">
        <v>134</v>
      </c>
      <c r="AB163" s="219" t="s">
        <v>130</v>
      </c>
      <c r="AC163" s="242" t="s">
        <v>216</v>
      </c>
      <c r="AD163" s="275" t="s">
        <v>272</v>
      </c>
      <c r="AE163" s="241" t="s">
        <v>208</v>
      </c>
      <c r="AG163" s="183" t="str">
        <f t="shared" ref="AG163:AG194" si="5">C163&amp;D163&amp;","&amp;E163&amp;","&amp;F163&amp;","&amp;G163&amp;","&amp;H163&amp;","&amp;I163&amp;","&amp;J163&amp;","&amp;K163&amp;","&amp;L163&amp;","&amp;M163&amp;N163&amp;O163&amp;P163&amp;Q163&amp;","&amp;R163&amp;","&amp;S163&amp;","&amp;T163&amp;","&amp;U163&amp;","&amp;V163&amp;","&amp;W163&amp;","&amp;X163&amp;","&amp;Y163&amp;","&amp;Z163&amp;AA163&amp;AB163&amp;"   "&amp;AC163&amp;AD163</f>
        <v>[0,x,x,x,x,0,0,0,0,0]-&gt;[0,0,0,x,x,1,1,x,x,0];   "ProfDos aus, RAM onboard, LoRom &amp; HiRom DolphinDos</v>
      </c>
    </row>
    <row r="164" spans="1:33" ht="15.75" hidden="1" thickBot="1" x14ac:dyDescent="0.3">
      <c r="A164" s="248"/>
      <c r="C164" s="220" t="s">
        <v>135</v>
      </c>
      <c r="D164" s="233" t="s">
        <v>218</v>
      </c>
      <c r="E164" s="233" t="s">
        <v>218</v>
      </c>
      <c r="F164" s="214" t="s">
        <v>218</v>
      </c>
      <c r="G164" s="214" t="s">
        <v>218</v>
      </c>
      <c r="H164" s="230" t="s">
        <v>218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212</v>
      </c>
      <c r="P164" s="191" t="s">
        <v>135</v>
      </c>
      <c r="Q164" s="191">
        <v>0</v>
      </c>
      <c r="R164" s="191">
        <v>0</v>
      </c>
      <c r="S164" s="191">
        <v>1</v>
      </c>
      <c r="T164" s="233" t="s">
        <v>218</v>
      </c>
      <c r="U164" s="230" t="s">
        <v>218</v>
      </c>
      <c r="V164" s="191">
        <v>1</v>
      </c>
      <c r="W164" s="191">
        <v>1</v>
      </c>
      <c r="X164" s="233" t="s">
        <v>218</v>
      </c>
      <c r="Y164" s="230" t="s">
        <v>218</v>
      </c>
      <c r="Z164" s="191">
        <v>0</v>
      </c>
      <c r="AA164" s="191" t="s">
        <v>134</v>
      </c>
      <c r="AB164" s="221" t="s">
        <v>130</v>
      </c>
      <c r="AC164" s="242" t="s">
        <v>216</v>
      </c>
      <c r="AD164" s="276" t="s">
        <v>274</v>
      </c>
      <c r="AG164" s="183" t="str">
        <f t="shared" si="5"/>
        <v>[x,x,x,x,x,0,0,0,0,1]-&gt;[0,0,1,x,x,1,1,x,x,0];   "DolphinDos</v>
      </c>
    </row>
    <row r="165" spans="1:33" ht="15.75" hidden="1" thickBot="1" x14ac:dyDescent="0.3">
      <c r="A165" s="248"/>
      <c r="C165" s="220" t="s">
        <v>135</v>
      </c>
      <c r="D165" s="233" t="s">
        <v>218</v>
      </c>
      <c r="E165" s="233" t="s">
        <v>218</v>
      </c>
      <c r="F165" s="214" t="s">
        <v>218</v>
      </c>
      <c r="G165" s="214" t="s">
        <v>218</v>
      </c>
      <c r="H165" s="230" t="s">
        <v>218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212</v>
      </c>
      <c r="P165" s="191" t="s">
        <v>135</v>
      </c>
      <c r="Q165" s="191">
        <v>0</v>
      </c>
      <c r="R165" s="191">
        <v>1</v>
      </c>
      <c r="S165" s="191">
        <v>0</v>
      </c>
      <c r="T165" s="233" t="s">
        <v>218</v>
      </c>
      <c r="U165" s="230" t="s">
        <v>218</v>
      </c>
      <c r="V165" s="191">
        <v>1</v>
      </c>
      <c r="W165" s="191">
        <v>1</v>
      </c>
      <c r="X165" s="233" t="s">
        <v>218</v>
      </c>
      <c r="Y165" s="230" t="s">
        <v>218</v>
      </c>
      <c r="Z165" s="191">
        <v>0</v>
      </c>
      <c r="AA165" s="191" t="s">
        <v>134</v>
      </c>
      <c r="AB165" s="221" t="s">
        <v>130</v>
      </c>
      <c r="AE165" s="183" t="s">
        <v>206</v>
      </c>
      <c r="AG165" s="183" t="str">
        <f t="shared" si="5"/>
        <v xml:space="preserve">[x,x,x,x,x,0,0,0,1,0]-&gt;[0,1,0,x,x,1,1,x,x,0];   </v>
      </c>
    </row>
    <row r="166" spans="1:33" ht="15.75" hidden="1" thickBot="1" x14ac:dyDescent="0.3">
      <c r="A166" s="248"/>
      <c r="C166" s="220" t="s">
        <v>135</v>
      </c>
      <c r="D166" s="233" t="s">
        <v>218</v>
      </c>
      <c r="E166" s="233" t="s">
        <v>218</v>
      </c>
      <c r="F166" s="214" t="s">
        <v>218</v>
      </c>
      <c r="G166" s="214" t="s">
        <v>218</v>
      </c>
      <c r="H166" s="230" t="s">
        <v>218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212</v>
      </c>
      <c r="P166" s="191" t="s">
        <v>135</v>
      </c>
      <c r="Q166" s="191">
        <v>0</v>
      </c>
      <c r="R166" s="191">
        <v>1</v>
      </c>
      <c r="S166" s="191">
        <v>1</v>
      </c>
      <c r="T166" s="233" t="s">
        <v>218</v>
      </c>
      <c r="U166" s="230" t="s">
        <v>218</v>
      </c>
      <c r="V166" s="191">
        <v>1</v>
      </c>
      <c r="W166" s="191">
        <v>1</v>
      </c>
      <c r="X166" s="233" t="s">
        <v>218</v>
      </c>
      <c r="Y166" s="230" t="s">
        <v>218</v>
      </c>
      <c r="Z166" s="191">
        <v>0</v>
      </c>
      <c r="AA166" s="191" t="s">
        <v>134</v>
      </c>
      <c r="AB166" s="221" t="s">
        <v>130</v>
      </c>
      <c r="AG166" s="183" t="str">
        <f t="shared" si="5"/>
        <v xml:space="preserve">[x,x,x,x,x,0,0,0,1,1]-&gt;[0,1,1,x,x,1,1,x,x,0];   </v>
      </c>
    </row>
    <row r="167" spans="1:33" ht="15.75" hidden="1" thickBot="1" x14ac:dyDescent="0.3">
      <c r="A167" s="248"/>
      <c r="C167" s="220" t="s">
        <v>135</v>
      </c>
      <c r="D167" s="233" t="s">
        <v>218</v>
      </c>
      <c r="E167" s="233" t="s">
        <v>218</v>
      </c>
      <c r="F167" s="214" t="s">
        <v>218</v>
      </c>
      <c r="G167" s="214" t="s">
        <v>218</v>
      </c>
      <c r="H167" s="230" t="s">
        <v>218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212</v>
      </c>
      <c r="P167" s="191" t="s">
        <v>135</v>
      </c>
      <c r="Q167" s="191">
        <v>0</v>
      </c>
      <c r="R167" s="191">
        <v>0</v>
      </c>
      <c r="S167" s="191">
        <v>0</v>
      </c>
      <c r="T167" s="233" t="s">
        <v>218</v>
      </c>
      <c r="U167" s="230" t="s">
        <v>218</v>
      </c>
      <c r="V167" s="191">
        <v>1</v>
      </c>
      <c r="W167" s="191">
        <v>1</v>
      </c>
      <c r="X167" s="233" t="s">
        <v>218</v>
      </c>
      <c r="Y167" s="230" t="s">
        <v>218</v>
      </c>
      <c r="Z167" s="191">
        <v>0</v>
      </c>
      <c r="AA167" s="191" t="s">
        <v>134</v>
      </c>
      <c r="AB167" s="221" t="s">
        <v>130</v>
      </c>
      <c r="AE167" s="183" t="s">
        <v>201</v>
      </c>
      <c r="AG167" s="183" t="str">
        <f t="shared" si="5"/>
        <v xml:space="preserve">[x,x,x,x,x,0,0,1,0,0]-&gt;[0,0,0,x,x,1,1,x,x,0];   </v>
      </c>
    </row>
    <row r="168" spans="1:33" ht="15.75" hidden="1" thickBot="1" x14ac:dyDescent="0.3">
      <c r="A168" s="248"/>
      <c r="C168" s="220" t="s">
        <v>135</v>
      </c>
      <c r="D168" s="233" t="s">
        <v>218</v>
      </c>
      <c r="E168" s="233" t="s">
        <v>218</v>
      </c>
      <c r="F168" s="214" t="s">
        <v>218</v>
      </c>
      <c r="G168" s="214" t="s">
        <v>218</v>
      </c>
      <c r="H168" s="230" t="s">
        <v>218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212</v>
      </c>
      <c r="P168" s="191" t="s">
        <v>135</v>
      </c>
      <c r="Q168" s="191">
        <v>0</v>
      </c>
      <c r="R168" s="191">
        <v>0</v>
      </c>
      <c r="S168" s="191">
        <v>1</v>
      </c>
      <c r="T168" s="233" t="s">
        <v>218</v>
      </c>
      <c r="U168" s="230" t="s">
        <v>218</v>
      </c>
      <c r="V168" s="191">
        <v>1</v>
      </c>
      <c r="W168" s="191">
        <v>1</v>
      </c>
      <c r="X168" s="233" t="s">
        <v>218</v>
      </c>
      <c r="Y168" s="230" t="s">
        <v>218</v>
      </c>
      <c r="Z168" s="191">
        <v>0</v>
      </c>
      <c r="AA168" s="191" t="s">
        <v>134</v>
      </c>
      <c r="AB168" s="221" t="s">
        <v>130</v>
      </c>
      <c r="AG168" s="183" t="str">
        <f t="shared" si="5"/>
        <v xml:space="preserve">[x,x,x,x,x,0,0,1,0,1]-&gt;[0,0,1,x,x,1,1,x,x,0];   </v>
      </c>
    </row>
    <row r="169" spans="1:33" ht="15.75" hidden="1" thickBot="1" x14ac:dyDescent="0.3">
      <c r="A169" s="248"/>
      <c r="C169" s="220" t="s">
        <v>135</v>
      </c>
      <c r="D169" s="233" t="s">
        <v>218</v>
      </c>
      <c r="E169" s="233" t="s">
        <v>218</v>
      </c>
      <c r="F169" s="214" t="s">
        <v>218</v>
      </c>
      <c r="G169" s="214" t="s">
        <v>218</v>
      </c>
      <c r="H169" s="230" t="s">
        <v>218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212</v>
      </c>
      <c r="P169" s="191" t="s">
        <v>135</v>
      </c>
      <c r="Q169" s="191">
        <v>0</v>
      </c>
      <c r="R169" s="191">
        <v>1</v>
      </c>
      <c r="S169" s="191">
        <v>0</v>
      </c>
      <c r="T169" s="233" t="s">
        <v>218</v>
      </c>
      <c r="U169" s="230" t="s">
        <v>218</v>
      </c>
      <c r="V169" s="191">
        <v>1</v>
      </c>
      <c r="W169" s="191">
        <v>1</v>
      </c>
      <c r="X169" s="233" t="s">
        <v>218</v>
      </c>
      <c r="Y169" s="230" t="s">
        <v>218</v>
      </c>
      <c r="Z169" s="191">
        <v>0</v>
      </c>
      <c r="AA169" s="191" t="s">
        <v>134</v>
      </c>
      <c r="AB169" s="221" t="s">
        <v>130</v>
      </c>
      <c r="AE169" s="183" t="s">
        <v>199</v>
      </c>
      <c r="AG169" s="183" t="str">
        <f t="shared" si="5"/>
        <v xml:space="preserve">[x,x,x,x,x,0,0,1,1,0]-&gt;[0,1,0,x,x,1,1,x,x,0];   </v>
      </c>
    </row>
    <row r="170" spans="1:33" ht="15.75" hidden="1" thickBot="1" x14ac:dyDescent="0.3">
      <c r="A170" s="248"/>
      <c r="C170" s="220" t="s">
        <v>135</v>
      </c>
      <c r="D170" s="233" t="s">
        <v>218</v>
      </c>
      <c r="E170" s="233" t="s">
        <v>218</v>
      </c>
      <c r="F170" s="214" t="s">
        <v>218</v>
      </c>
      <c r="G170" s="214" t="s">
        <v>218</v>
      </c>
      <c r="H170" s="230" t="s">
        <v>218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212</v>
      </c>
      <c r="P170" s="191" t="s">
        <v>135</v>
      </c>
      <c r="Q170" s="191">
        <v>0</v>
      </c>
      <c r="R170" s="191">
        <v>1</v>
      </c>
      <c r="S170" s="191">
        <v>1</v>
      </c>
      <c r="T170" s="233" t="s">
        <v>218</v>
      </c>
      <c r="U170" s="230" t="s">
        <v>218</v>
      </c>
      <c r="V170" s="191">
        <v>1</v>
      </c>
      <c r="W170" s="191">
        <v>1</v>
      </c>
      <c r="X170" s="233" t="s">
        <v>218</v>
      </c>
      <c r="Y170" s="230" t="s">
        <v>218</v>
      </c>
      <c r="Z170" s="191">
        <v>0</v>
      </c>
      <c r="AA170" s="191" t="s">
        <v>134</v>
      </c>
      <c r="AB170" s="221" t="s">
        <v>130</v>
      </c>
      <c r="AG170" s="183" t="str">
        <f t="shared" si="5"/>
        <v xml:space="preserve">[x,x,x,x,x,0,0,1,1,1]-&gt;[0,1,1,x,x,1,1,x,x,0];   </v>
      </c>
    </row>
    <row r="171" spans="1:33" ht="15.75" hidden="1" thickBot="1" x14ac:dyDescent="0.3">
      <c r="A171" s="248"/>
      <c r="C171" s="220" t="s">
        <v>135</v>
      </c>
      <c r="D171" s="288">
        <v>0</v>
      </c>
      <c r="E171" s="233" t="s">
        <v>218</v>
      </c>
      <c r="F171" s="214" t="s">
        <v>218</v>
      </c>
      <c r="G171" s="214" t="s">
        <v>218</v>
      </c>
      <c r="H171" s="230" t="s">
        <v>218</v>
      </c>
      <c r="I171" s="217">
        <v>0</v>
      </c>
      <c r="J171" s="217">
        <v>1</v>
      </c>
      <c r="K171" s="219">
        <v>0</v>
      </c>
      <c r="L171" s="191">
        <v>0</v>
      </c>
      <c r="M171" s="191">
        <v>0</v>
      </c>
      <c r="N171" s="191" t="s">
        <v>134</v>
      </c>
      <c r="O171" s="211" t="s">
        <v>212</v>
      </c>
      <c r="P171" s="191" t="s">
        <v>135</v>
      </c>
      <c r="Q171" s="191">
        <v>0</v>
      </c>
      <c r="R171" s="191">
        <v>0</v>
      </c>
      <c r="S171" s="191">
        <v>0</v>
      </c>
      <c r="T171" s="233" t="s">
        <v>218</v>
      </c>
      <c r="U171" s="230" t="s">
        <v>218</v>
      </c>
      <c r="V171" s="191">
        <v>1</v>
      </c>
      <c r="W171" s="191">
        <v>1</v>
      </c>
      <c r="X171" s="233" t="s">
        <v>218</v>
      </c>
      <c r="Y171" s="230" t="s">
        <v>218</v>
      </c>
      <c r="Z171" s="191">
        <v>0</v>
      </c>
      <c r="AA171" s="191" t="s">
        <v>134</v>
      </c>
      <c r="AB171" s="221" t="s">
        <v>130</v>
      </c>
      <c r="AE171" s="183" t="s">
        <v>196</v>
      </c>
      <c r="AG171" s="183" t="str">
        <f t="shared" si="5"/>
        <v xml:space="preserve">[0,x,x,x,x,0,1,0,0,0]-&gt;[0,0,0,x,x,1,1,x,x,0];   </v>
      </c>
    </row>
    <row r="172" spans="1:33" ht="15.75" hidden="1" thickBot="1" x14ac:dyDescent="0.3">
      <c r="A172" s="248"/>
      <c r="C172" s="220" t="s">
        <v>135</v>
      </c>
      <c r="D172" s="289">
        <v>0</v>
      </c>
      <c r="E172" s="233" t="s">
        <v>218</v>
      </c>
      <c r="F172" s="214" t="s">
        <v>218</v>
      </c>
      <c r="G172" s="214" t="s">
        <v>218</v>
      </c>
      <c r="H172" s="230" t="s">
        <v>218</v>
      </c>
      <c r="I172" s="191">
        <v>0</v>
      </c>
      <c r="J172" s="191">
        <v>1</v>
      </c>
      <c r="K172" s="221">
        <v>0</v>
      </c>
      <c r="L172" s="191">
        <v>0</v>
      </c>
      <c r="M172" s="191">
        <v>1</v>
      </c>
      <c r="N172" s="191" t="s">
        <v>134</v>
      </c>
      <c r="O172" s="211" t="s">
        <v>212</v>
      </c>
      <c r="P172" s="191" t="s">
        <v>135</v>
      </c>
      <c r="Q172" s="191">
        <v>0</v>
      </c>
      <c r="R172" s="191">
        <v>0</v>
      </c>
      <c r="S172" s="191">
        <v>1</v>
      </c>
      <c r="T172" s="233" t="s">
        <v>218</v>
      </c>
      <c r="U172" s="230" t="s">
        <v>218</v>
      </c>
      <c r="V172" s="191">
        <v>1</v>
      </c>
      <c r="W172" s="191">
        <v>1</v>
      </c>
      <c r="X172" s="233" t="s">
        <v>218</v>
      </c>
      <c r="Y172" s="230" t="s">
        <v>218</v>
      </c>
      <c r="Z172" s="191">
        <v>0</v>
      </c>
      <c r="AA172" s="191" t="s">
        <v>134</v>
      </c>
      <c r="AB172" s="221" t="s">
        <v>130</v>
      </c>
      <c r="AG172" s="183" t="str">
        <f t="shared" si="5"/>
        <v xml:space="preserve">[0,x,x,x,x,0,1,0,0,1]-&gt;[0,0,1,x,x,1,1,x,x,0];   </v>
      </c>
    </row>
    <row r="173" spans="1:33" ht="15.75" hidden="1" thickBot="1" x14ac:dyDescent="0.3">
      <c r="A173" s="248"/>
      <c r="C173" s="220" t="s">
        <v>135</v>
      </c>
      <c r="D173" s="289">
        <v>0</v>
      </c>
      <c r="E173" s="233" t="s">
        <v>218</v>
      </c>
      <c r="F173" s="214" t="s">
        <v>218</v>
      </c>
      <c r="G173" s="214" t="s">
        <v>218</v>
      </c>
      <c r="H173" s="230" t="s">
        <v>218</v>
      </c>
      <c r="I173" s="191">
        <v>0</v>
      </c>
      <c r="J173" s="191">
        <v>1</v>
      </c>
      <c r="K173" s="221">
        <v>0</v>
      </c>
      <c r="L173" s="191">
        <v>1</v>
      </c>
      <c r="M173" s="191">
        <v>0</v>
      </c>
      <c r="N173" s="191" t="s">
        <v>134</v>
      </c>
      <c r="O173" s="211" t="s">
        <v>212</v>
      </c>
      <c r="P173" s="191" t="s">
        <v>135</v>
      </c>
      <c r="Q173" s="191">
        <v>0</v>
      </c>
      <c r="R173" s="191">
        <v>1</v>
      </c>
      <c r="S173" s="191">
        <v>0</v>
      </c>
      <c r="T173" s="233" t="s">
        <v>218</v>
      </c>
      <c r="U173" s="230" t="s">
        <v>218</v>
      </c>
      <c r="V173" s="191">
        <v>1</v>
      </c>
      <c r="W173" s="191">
        <v>1</v>
      </c>
      <c r="X173" s="233" t="s">
        <v>218</v>
      </c>
      <c r="Y173" s="230" t="s">
        <v>218</v>
      </c>
      <c r="Z173" s="191">
        <v>0</v>
      </c>
      <c r="AA173" s="191" t="s">
        <v>134</v>
      </c>
      <c r="AB173" s="221" t="s">
        <v>130</v>
      </c>
      <c r="AE173" s="183" t="s">
        <v>194</v>
      </c>
      <c r="AG173" s="183" t="str">
        <f t="shared" si="5"/>
        <v xml:space="preserve">[0,x,x,x,x,0,1,0,1,0]-&gt;[0,1,0,x,x,1,1,x,x,0];   </v>
      </c>
    </row>
    <row r="174" spans="1:33" ht="15.75" hidden="1" thickBot="1" x14ac:dyDescent="0.3">
      <c r="A174" s="248"/>
      <c r="C174" s="220" t="s">
        <v>135</v>
      </c>
      <c r="D174" s="289">
        <v>0</v>
      </c>
      <c r="E174" s="233" t="s">
        <v>218</v>
      </c>
      <c r="F174" s="214" t="s">
        <v>218</v>
      </c>
      <c r="G174" s="214" t="s">
        <v>218</v>
      </c>
      <c r="H174" s="230" t="s">
        <v>218</v>
      </c>
      <c r="I174" s="191">
        <v>0</v>
      </c>
      <c r="J174" s="191">
        <v>1</v>
      </c>
      <c r="K174" s="221">
        <v>0</v>
      </c>
      <c r="L174" s="191">
        <v>1</v>
      </c>
      <c r="M174" s="191">
        <v>1</v>
      </c>
      <c r="N174" s="191" t="s">
        <v>134</v>
      </c>
      <c r="O174" s="211" t="s">
        <v>212</v>
      </c>
      <c r="P174" s="191" t="s">
        <v>135</v>
      </c>
      <c r="Q174" s="191">
        <v>0</v>
      </c>
      <c r="R174" s="191">
        <v>1</v>
      </c>
      <c r="S174" s="191">
        <v>1</v>
      </c>
      <c r="T174" s="233" t="s">
        <v>218</v>
      </c>
      <c r="U174" s="230" t="s">
        <v>218</v>
      </c>
      <c r="V174" s="191">
        <v>1</v>
      </c>
      <c r="W174" s="191">
        <v>1</v>
      </c>
      <c r="X174" s="233" t="s">
        <v>218</v>
      </c>
      <c r="Y174" s="230" t="s">
        <v>218</v>
      </c>
      <c r="Z174" s="191">
        <v>0</v>
      </c>
      <c r="AA174" s="191" t="s">
        <v>134</v>
      </c>
      <c r="AB174" s="221" t="s">
        <v>130</v>
      </c>
      <c r="AG174" s="183" t="str">
        <f t="shared" si="5"/>
        <v xml:space="preserve">[0,x,x,x,x,0,1,0,1,1]-&gt;[0,1,1,x,x,1,1,x,x,0];   </v>
      </c>
    </row>
    <row r="175" spans="1:33" ht="15.75" hidden="1" thickBot="1" x14ac:dyDescent="0.3">
      <c r="A175" s="248"/>
      <c r="C175" s="220" t="s">
        <v>135</v>
      </c>
      <c r="D175" s="289">
        <v>0</v>
      </c>
      <c r="E175" s="233" t="s">
        <v>218</v>
      </c>
      <c r="F175" s="214" t="s">
        <v>218</v>
      </c>
      <c r="G175" s="214" t="s">
        <v>218</v>
      </c>
      <c r="H175" s="230" t="s">
        <v>218</v>
      </c>
      <c r="I175" s="191">
        <v>0</v>
      </c>
      <c r="J175" s="191">
        <v>1</v>
      </c>
      <c r="K175" s="221">
        <v>1</v>
      </c>
      <c r="L175" s="191">
        <v>0</v>
      </c>
      <c r="M175" s="191">
        <v>0</v>
      </c>
      <c r="N175" s="191" t="s">
        <v>134</v>
      </c>
      <c r="O175" s="211" t="s">
        <v>212</v>
      </c>
      <c r="P175" s="191" t="s">
        <v>135</v>
      </c>
      <c r="Q175" s="191">
        <v>0</v>
      </c>
      <c r="R175" s="191">
        <v>0</v>
      </c>
      <c r="S175" s="191">
        <v>0</v>
      </c>
      <c r="T175" s="233" t="s">
        <v>218</v>
      </c>
      <c r="U175" s="230" t="s">
        <v>218</v>
      </c>
      <c r="V175" s="191">
        <v>1</v>
      </c>
      <c r="W175" s="191">
        <v>1</v>
      </c>
      <c r="X175" s="233" t="s">
        <v>218</v>
      </c>
      <c r="Y175" s="230" t="s">
        <v>218</v>
      </c>
      <c r="Z175" s="191">
        <v>0</v>
      </c>
      <c r="AA175" s="191" t="s">
        <v>134</v>
      </c>
      <c r="AB175" s="221" t="s">
        <v>130</v>
      </c>
      <c r="AE175" s="183" t="s">
        <v>191</v>
      </c>
      <c r="AG175" s="183" t="str">
        <f>C175&amp;D175&amp;","&amp;E175&amp;","&amp;F175&amp;","&amp;G175&amp;","&amp;H175&amp;","&amp;I175&amp;","&amp;J175&amp;","&amp;K175&amp;","&amp;L175&amp;","&amp;M175&amp;N175&amp;O175&amp;P175&amp;Q175&amp;","&amp;R175&amp;","&amp;S175&amp;","&amp;T175&amp;","&amp;U175&amp;","&amp;V175&amp;","&amp;W175&amp;","&amp;X175&amp;","&amp;Y175&amp;","&amp;Z175&amp;AA175&amp;AB175&amp;"   "&amp;AC175&amp;AD175</f>
        <v xml:space="preserve">[0,x,x,x,x,0,1,1,0,0]-&gt;[0,0,0,x,x,1,1,x,x,0];   </v>
      </c>
    </row>
    <row r="176" spans="1:33" ht="15.75" hidden="1" thickBot="1" x14ac:dyDescent="0.3">
      <c r="A176" s="248"/>
      <c r="C176" s="220" t="s">
        <v>135</v>
      </c>
      <c r="D176" s="289">
        <v>0</v>
      </c>
      <c r="E176" s="233" t="s">
        <v>218</v>
      </c>
      <c r="F176" s="214" t="s">
        <v>218</v>
      </c>
      <c r="G176" s="214" t="s">
        <v>218</v>
      </c>
      <c r="H176" s="230" t="s">
        <v>218</v>
      </c>
      <c r="I176" s="191">
        <v>0</v>
      </c>
      <c r="J176" s="191">
        <v>1</v>
      </c>
      <c r="K176" s="221">
        <v>1</v>
      </c>
      <c r="L176" s="191">
        <v>0</v>
      </c>
      <c r="M176" s="191">
        <v>1</v>
      </c>
      <c r="N176" s="191" t="s">
        <v>134</v>
      </c>
      <c r="O176" s="211" t="s">
        <v>212</v>
      </c>
      <c r="P176" s="191" t="s">
        <v>135</v>
      </c>
      <c r="Q176" s="191">
        <v>0</v>
      </c>
      <c r="R176" s="191">
        <v>0</v>
      </c>
      <c r="S176" s="191">
        <v>1</v>
      </c>
      <c r="T176" s="233" t="s">
        <v>218</v>
      </c>
      <c r="U176" s="230" t="s">
        <v>218</v>
      </c>
      <c r="V176" s="191">
        <v>1</v>
      </c>
      <c r="W176" s="191">
        <v>1</v>
      </c>
      <c r="X176" s="233" t="s">
        <v>218</v>
      </c>
      <c r="Y176" s="230" t="s">
        <v>218</v>
      </c>
      <c r="Z176" s="191">
        <v>0</v>
      </c>
      <c r="AA176" s="191" t="s">
        <v>134</v>
      </c>
      <c r="AB176" s="221" t="s">
        <v>130</v>
      </c>
      <c r="AG176" s="183" t="str">
        <f t="shared" si="5"/>
        <v xml:space="preserve">[0,x,x,x,x,0,1,1,0,1]-&gt;[0,0,1,x,x,1,1,x,x,0];   </v>
      </c>
    </row>
    <row r="177" spans="1:33" ht="15.75" hidden="1" thickBot="1" x14ac:dyDescent="0.3">
      <c r="A177" s="248"/>
      <c r="C177" s="220" t="s">
        <v>135</v>
      </c>
      <c r="D177" s="289">
        <v>0</v>
      </c>
      <c r="E177" s="233" t="s">
        <v>218</v>
      </c>
      <c r="F177" s="214" t="s">
        <v>218</v>
      </c>
      <c r="G177" s="214" t="s">
        <v>218</v>
      </c>
      <c r="H177" s="230" t="s">
        <v>218</v>
      </c>
      <c r="I177" s="191">
        <v>0</v>
      </c>
      <c r="J177" s="191">
        <v>1</v>
      </c>
      <c r="K177" s="221">
        <v>1</v>
      </c>
      <c r="L177" s="191">
        <v>1</v>
      </c>
      <c r="M177" s="191">
        <v>0</v>
      </c>
      <c r="N177" s="191" t="s">
        <v>134</v>
      </c>
      <c r="O177" s="211" t="s">
        <v>212</v>
      </c>
      <c r="P177" s="191" t="s">
        <v>135</v>
      </c>
      <c r="Q177" s="191">
        <v>0</v>
      </c>
      <c r="R177" s="191">
        <v>1</v>
      </c>
      <c r="S177" s="191">
        <v>0</v>
      </c>
      <c r="T177" s="233" t="s">
        <v>218</v>
      </c>
      <c r="U177" s="230" t="s">
        <v>218</v>
      </c>
      <c r="V177" s="191">
        <v>1</v>
      </c>
      <c r="W177" s="191">
        <v>1</v>
      </c>
      <c r="X177" s="233" t="s">
        <v>218</v>
      </c>
      <c r="Y177" s="230" t="s">
        <v>218</v>
      </c>
      <c r="Z177" s="191">
        <v>0</v>
      </c>
      <c r="AA177" s="191" t="s">
        <v>134</v>
      </c>
      <c r="AB177" s="221" t="s">
        <v>130</v>
      </c>
      <c r="AE177" s="183" t="s">
        <v>188</v>
      </c>
      <c r="AG177" s="183" t="str">
        <f t="shared" si="5"/>
        <v xml:space="preserve">[0,x,x,x,x,0,1,1,1,0]-&gt;[0,1,0,x,x,1,1,x,x,0];   </v>
      </c>
    </row>
    <row r="178" spans="1:33" ht="15.75" hidden="1" thickBot="1" x14ac:dyDescent="0.3">
      <c r="A178" s="248"/>
      <c r="C178" s="220" t="s">
        <v>135</v>
      </c>
      <c r="D178" s="289">
        <v>0</v>
      </c>
      <c r="E178" s="233" t="s">
        <v>218</v>
      </c>
      <c r="F178" s="214" t="s">
        <v>218</v>
      </c>
      <c r="G178" s="214" t="s">
        <v>218</v>
      </c>
      <c r="H178" s="230" t="s">
        <v>218</v>
      </c>
      <c r="I178" s="223">
        <v>0</v>
      </c>
      <c r="J178" s="223">
        <v>1</v>
      </c>
      <c r="K178" s="225">
        <v>1</v>
      </c>
      <c r="L178" s="191">
        <v>1</v>
      </c>
      <c r="M178" s="191">
        <v>1</v>
      </c>
      <c r="N178" s="191" t="s">
        <v>134</v>
      </c>
      <c r="O178" s="211" t="s">
        <v>212</v>
      </c>
      <c r="P178" s="191" t="s">
        <v>135</v>
      </c>
      <c r="Q178" s="191">
        <v>0</v>
      </c>
      <c r="R178" s="191">
        <v>1</v>
      </c>
      <c r="S178" s="191">
        <v>1</v>
      </c>
      <c r="T178" s="233" t="s">
        <v>218</v>
      </c>
      <c r="U178" s="230" t="s">
        <v>218</v>
      </c>
      <c r="V178" s="191">
        <v>1</v>
      </c>
      <c r="W178" s="191">
        <v>1</v>
      </c>
      <c r="X178" s="233" t="s">
        <v>218</v>
      </c>
      <c r="Y178" s="230" t="s">
        <v>218</v>
      </c>
      <c r="Z178" s="191">
        <v>0</v>
      </c>
      <c r="AA178" s="191" t="s">
        <v>134</v>
      </c>
      <c r="AB178" s="221" t="s">
        <v>130</v>
      </c>
      <c r="AG178" s="183" t="str">
        <f t="shared" si="5"/>
        <v xml:space="preserve">[0,x,x,x,x,0,1,1,1,1]-&gt;[0,1,1,x,x,1,1,x,x,0];   </v>
      </c>
    </row>
    <row r="179" spans="1:33" ht="15.75" hidden="1" thickBot="1" x14ac:dyDescent="0.3">
      <c r="A179" s="248"/>
      <c r="C179" s="220" t="s">
        <v>135</v>
      </c>
      <c r="D179" s="289">
        <v>0</v>
      </c>
      <c r="E179" s="233" t="s">
        <v>218</v>
      </c>
      <c r="F179" s="214" t="s">
        <v>218</v>
      </c>
      <c r="G179" s="214" t="s">
        <v>218</v>
      </c>
      <c r="H179" s="230" t="s">
        <v>218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212</v>
      </c>
      <c r="P179" s="191" t="s">
        <v>135</v>
      </c>
      <c r="Q179" s="279">
        <v>0</v>
      </c>
      <c r="R179" s="280">
        <v>1</v>
      </c>
      <c r="S179" s="281">
        <v>0</v>
      </c>
      <c r="T179" s="233" t="s">
        <v>218</v>
      </c>
      <c r="U179" s="230" t="s">
        <v>218</v>
      </c>
      <c r="V179" s="191">
        <v>1</v>
      </c>
      <c r="W179" s="288">
        <v>0</v>
      </c>
      <c r="X179" s="279">
        <v>0</v>
      </c>
      <c r="Y179" s="281">
        <v>0</v>
      </c>
      <c r="Z179" s="191">
        <v>0</v>
      </c>
      <c r="AA179" s="191" t="s">
        <v>134</v>
      </c>
      <c r="AB179" s="221" t="s">
        <v>130</v>
      </c>
      <c r="AC179" s="242" t="s">
        <v>216</v>
      </c>
      <c r="AD179" s="278" t="s">
        <v>268</v>
      </c>
      <c r="AE179" s="183" t="s">
        <v>183</v>
      </c>
      <c r="AG179" s="183" t="str">
        <f>C179&amp;D179&amp;","&amp;E179&amp;","&amp;F179&amp;","&amp;G179&amp;","&amp;H179&amp;","&amp;I179&amp;","&amp;J179&amp;","&amp;K179&amp;","&amp;L179&amp;","&amp;M179&amp;N179&amp;O179&amp;P179&amp;Q179&amp;","&amp;R179&amp;","&amp;S179&amp;","&amp;T179&amp;","&amp;U179&amp;","&amp;V179&amp;","&amp;W179&amp;","&amp;X179&amp;","&amp;Y179&amp;","&amp;Z179&amp;AA179&amp;AB179&amp;"   "&amp;AC179&amp;AD179</f>
        <v>[0,x,x,x,x,1,0,0,0,0]-&gt;[0,1,0,x,x,1,0,0,0,0];   "DolphinDOS RAM</v>
      </c>
    </row>
    <row r="180" spans="1:33" ht="15.75" hidden="1" thickBot="1" x14ac:dyDescent="0.3">
      <c r="A180" s="248"/>
      <c r="C180" s="220" t="s">
        <v>135</v>
      </c>
      <c r="D180" s="289">
        <v>0</v>
      </c>
      <c r="E180" s="233" t="s">
        <v>218</v>
      </c>
      <c r="F180" s="214" t="s">
        <v>218</v>
      </c>
      <c r="G180" s="214" t="s">
        <v>218</v>
      </c>
      <c r="H180" s="230" t="s">
        <v>218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212</v>
      </c>
      <c r="P180" s="191" t="s">
        <v>135</v>
      </c>
      <c r="Q180" s="282">
        <v>0</v>
      </c>
      <c r="R180" s="276">
        <v>1</v>
      </c>
      <c r="S180" s="283">
        <v>0</v>
      </c>
      <c r="T180" s="233" t="s">
        <v>218</v>
      </c>
      <c r="U180" s="230" t="s">
        <v>218</v>
      </c>
      <c r="V180" s="191">
        <v>1</v>
      </c>
      <c r="W180" s="289">
        <v>0</v>
      </c>
      <c r="X180" s="282">
        <v>0</v>
      </c>
      <c r="Y180" s="283">
        <v>0</v>
      </c>
      <c r="Z180" s="191">
        <v>0</v>
      </c>
      <c r="AA180" s="191" t="s">
        <v>134</v>
      </c>
      <c r="AB180" s="221" t="s">
        <v>130</v>
      </c>
      <c r="AD180" s="305"/>
      <c r="AG180" s="183" t="str">
        <f t="shared" si="5"/>
        <v xml:space="preserve">[0,x,x,x,x,1,0,0,0,1]-&gt;[0,1,0,x,x,1,0,0,0,0];   </v>
      </c>
    </row>
    <row r="181" spans="1:33" ht="15.75" hidden="1" thickBot="1" x14ac:dyDescent="0.3">
      <c r="A181" s="248"/>
      <c r="C181" s="220" t="s">
        <v>135</v>
      </c>
      <c r="D181" s="289">
        <v>0</v>
      </c>
      <c r="E181" s="233" t="s">
        <v>218</v>
      </c>
      <c r="F181" s="214" t="s">
        <v>218</v>
      </c>
      <c r="G181" s="214" t="s">
        <v>218</v>
      </c>
      <c r="H181" s="230" t="s">
        <v>218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212</v>
      </c>
      <c r="P181" s="191" t="s">
        <v>135</v>
      </c>
      <c r="Q181" s="282">
        <v>0</v>
      </c>
      <c r="R181" s="276">
        <v>1</v>
      </c>
      <c r="S181" s="283">
        <v>0</v>
      </c>
      <c r="T181" s="233" t="s">
        <v>218</v>
      </c>
      <c r="U181" s="230" t="s">
        <v>218</v>
      </c>
      <c r="V181" s="191">
        <v>1</v>
      </c>
      <c r="W181" s="289">
        <v>0</v>
      </c>
      <c r="X181" s="282">
        <v>0</v>
      </c>
      <c r="Y181" s="283">
        <v>0</v>
      </c>
      <c r="Z181" s="191">
        <v>0</v>
      </c>
      <c r="AA181" s="191" t="s">
        <v>134</v>
      </c>
      <c r="AB181" s="221" t="s">
        <v>130</v>
      </c>
      <c r="AD181" s="305"/>
      <c r="AE181" s="183" t="s">
        <v>181</v>
      </c>
      <c r="AG181" s="183" t="str">
        <f t="shared" si="5"/>
        <v xml:space="preserve">[0,x,x,x,x,1,0,0,1,0]-&gt;[0,1,0,x,x,1,0,0,0,0];   </v>
      </c>
    </row>
    <row r="182" spans="1:33" ht="15.75" hidden="1" thickBot="1" x14ac:dyDescent="0.3">
      <c r="A182" s="248"/>
      <c r="C182" s="220" t="s">
        <v>135</v>
      </c>
      <c r="D182" s="289">
        <v>0</v>
      </c>
      <c r="E182" s="233" t="s">
        <v>218</v>
      </c>
      <c r="F182" s="214" t="s">
        <v>218</v>
      </c>
      <c r="G182" s="214" t="s">
        <v>218</v>
      </c>
      <c r="H182" s="230" t="s">
        <v>218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212</v>
      </c>
      <c r="P182" s="191" t="s">
        <v>135</v>
      </c>
      <c r="Q182" s="284">
        <v>0</v>
      </c>
      <c r="R182" s="277">
        <v>1</v>
      </c>
      <c r="S182" s="285">
        <v>0</v>
      </c>
      <c r="T182" s="233" t="s">
        <v>218</v>
      </c>
      <c r="U182" s="230" t="s">
        <v>218</v>
      </c>
      <c r="V182" s="191">
        <v>1</v>
      </c>
      <c r="W182" s="290">
        <v>0</v>
      </c>
      <c r="X182" s="284">
        <v>0</v>
      </c>
      <c r="Y182" s="285">
        <v>0</v>
      </c>
      <c r="Z182" s="191">
        <v>0</v>
      </c>
      <c r="AA182" s="191" t="s">
        <v>134</v>
      </c>
      <c r="AB182" s="221" t="s">
        <v>130</v>
      </c>
      <c r="AD182" s="306"/>
      <c r="AG182" s="183" t="str">
        <f t="shared" si="5"/>
        <v xml:space="preserve">[0,x,x,x,x,1,0,0,1,1]-&gt;[0,1,0,x,x,1,0,0,0,0];   </v>
      </c>
    </row>
    <row r="183" spans="1:33" x14ac:dyDescent="0.25">
      <c r="A183" s="248"/>
      <c r="C183" s="220" t="s">
        <v>135</v>
      </c>
      <c r="D183" s="289">
        <v>0</v>
      </c>
      <c r="E183" s="233" t="s">
        <v>218</v>
      </c>
      <c r="F183" s="214" t="s">
        <v>218</v>
      </c>
      <c r="G183" s="214" t="s">
        <v>218</v>
      </c>
      <c r="H183" s="230" t="s">
        <v>218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212</v>
      </c>
      <c r="P183" s="191" t="s">
        <v>135</v>
      </c>
      <c r="Q183" s="279">
        <v>0</v>
      </c>
      <c r="R183" s="280">
        <v>1</v>
      </c>
      <c r="S183" s="281">
        <v>0</v>
      </c>
      <c r="T183" s="279">
        <v>0</v>
      </c>
      <c r="U183" s="281">
        <v>1</v>
      </c>
      <c r="V183" s="288">
        <v>0</v>
      </c>
      <c r="W183" s="191">
        <v>1</v>
      </c>
      <c r="X183" s="282">
        <v>0</v>
      </c>
      <c r="Y183" s="283">
        <v>0</v>
      </c>
      <c r="Z183" s="191">
        <v>0</v>
      </c>
      <c r="AA183" s="191" t="s">
        <v>134</v>
      </c>
      <c r="AB183" s="221" t="s">
        <v>130</v>
      </c>
      <c r="AC183" s="242" t="s">
        <v>216</v>
      </c>
      <c r="AD183" s="278" t="s">
        <v>271</v>
      </c>
      <c r="AE183" s="183" t="s">
        <v>178</v>
      </c>
      <c r="AG183" s="183" t="str">
        <f t="shared" si="5"/>
        <v>[0,x,x,x,x,1,0,1,0,0]-&gt;[0,1,0,0,1,0,1,0,0,0];   "DolphinDOS Dos-Extension (8000)</v>
      </c>
    </row>
    <row r="184" spans="1:33" x14ac:dyDescent="0.25">
      <c r="A184" s="248"/>
      <c r="C184" s="220" t="s">
        <v>135</v>
      </c>
      <c r="D184" s="289">
        <v>0</v>
      </c>
      <c r="E184" s="233" t="s">
        <v>218</v>
      </c>
      <c r="F184" s="214" t="s">
        <v>218</v>
      </c>
      <c r="G184" s="214" t="s">
        <v>218</v>
      </c>
      <c r="H184" s="230" t="s">
        <v>218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212</v>
      </c>
      <c r="P184" s="191" t="s">
        <v>135</v>
      </c>
      <c r="Q184" s="282">
        <v>0</v>
      </c>
      <c r="R184" s="276">
        <v>1</v>
      </c>
      <c r="S184" s="283">
        <v>0</v>
      </c>
      <c r="T184" s="282">
        <v>0</v>
      </c>
      <c r="U184" s="283">
        <v>1</v>
      </c>
      <c r="V184" s="289">
        <v>0</v>
      </c>
      <c r="W184" s="191">
        <v>1</v>
      </c>
      <c r="X184" s="282">
        <v>0</v>
      </c>
      <c r="Y184" s="283">
        <v>0</v>
      </c>
      <c r="Z184" s="191">
        <v>0</v>
      </c>
      <c r="AA184" s="191" t="s">
        <v>134</v>
      </c>
      <c r="AB184" s="221" t="s">
        <v>130</v>
      </c>
      <c r="AD184" s="305"/>
      <c r="AG184" s="183" t="str">
        <f t="shared" si="5"/>
        <v xml:space="preserve">[0,x,x,x,x,1,0,1,0,1]-&gt;[0,1,0,0,1,0,1,0,0,0];   </v>
      </c>
    </row>
    <row r="185" spans="1:33" x14ac:dyDescent="0.25">
      <c r="A185" s="248"/>
      <c r="C185" s="220" t="s">
        <v>135</v>
      </c>
      <c r="D185" s="289">
        <v>0</v>
      </c>
      <c r="E185" s="233" t="s">
        <v>218</v>
      </c>
      <c r="F185" s="214" t="s">
        <v>218</v>
      </c>
      <c r="G185" s="214" t="s">
        <v>218</v>
      </c>
      <c r="H185" s="230" t="s">
        <v>218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212</v>
      </c>
      <c r="P185" s="191" t="s">
        <v>135</v>
      </c>
      <c r="Q185" s="282">
        <v>0</v>
      </c>
      <c r="R185" s="276">
        <v>1</v>
      </c>
      <c r="S185" s="283">
        <v>0</v>
      </c>
      <c r="T185" s="282">
        <v>0</v>
      </c>
      <c r="U185" s="283">
        <v>1</v>
      </c>
      <c r="V185" s="289">
        <v>0</v>
      </c>
      <c r="W185" s="191">
        <v>1</v>
      </c>
      <c r="X185" s="282">
        <v>0</v>
      </c>
      <c r="Y185" s="283">
        <v>0</v>
      </c>
      <c r="Z185" s="191">
        <v>0</v>
      </c>
      <c r="AA185" s="191" t="s">
        <v>134</v>
      </c>
      <c r="AB185" s="221" t="s">
        <v>130</v>
      </c>
      <c r="AD185" s="305"/>
      <c r="AE185" s="183" t="s">
        <v>176</v>
      </c>
      <c r="AG185" s="183" t="str">
        <f t="shared" si="5"/>
        <v xml:space="preserve">[0,x,x,x,x,1,0,1,1,0]-&gt;[0,1,0,0,1,0,1,0,0,0];   </v>
      </c>
    </row>
    <row r="186" spans="1:33" ht="15.75" thickBot="1" x14ac:dyDescent="0.3">
      <c r="A186" s="248"/>
      <c r="C186" s="220" t="s">
        <v>135</v>
      </c>
      <c r="D186" s="289">
        <v>0</v>
      </c>
      <c r="E186" s="233" t="s">
        <v>218</v>
      </c>
      <c r="F186" s="214" t="s">
        <v>218</v>
      </c>
      <c r="G186" s="214" t="s">
        <v>218</v>
      </c>
      <c r="H186" s="230" t="s">
        <v>218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212</v>
      </c>
      <c r="P186" s="191" t="s">
        <v>135</v>
      </c>
      <c r="Q186" s="284">
        <v>0</v>
      </c>
      <c r="R186" s="277">
        <v>1</v>
      </c>
      <c r="S186" s="285">
        <v>0</v>
      </c>
      <c r="T186" s="282">
        <v>0</v>
      </c>
      <c r="U186" s="283">
        <v>1</v>
      </c>
      <c r="V186" s="290">
        <v>0</v>
      </c>
      <c r="W186" s="191">
        <v>1</v>
      </c>
      <c r="X186" s="284">
        <v>0</v>
      </c>
      <c r="Y186" s="285">
        <v>0</v>
      </c>
      <c r="Z186" s="191">
        <v>0</v>
      </c>
      <c r="AA186" s="191" t="s">
        <v>134</v>
      </c>
      <c r="AB186" s="221" t="s">
        <v>130</v>
      </c>
      <c r="AD186" s="306"/>
      <c r="AG186" s="183" t="str">
        <f t="shared" si="5"/>
        <v xml:space="preserve">[0,x,x,x,x,1,0,1,1,1]-&gt;[0,1,0,0,1,0,1,0,0,0];   </v>
      </c>
    </row>
    <row r="187" spans="1:33" x14ac:dyDescent="0.25">
      <c r="A187" s="248"/>
      <c r="C187" s="220" t="s">
        <v>135</v>
      </c>
      <c r="D187" s="289">
        <v>0</v>
      </c>
      <c r="E187" s="233" t="s">
        <v>218</v>
      </c>
      <c r="F187" s="214" t="s">
        <v>218</v>
      </c>
      <c r="G187" s="214" t="s">
        <v>218</v>
      </c>
      <c r="H187" s="230" t="s">
        <v>218</v>
      </c>
      <c r="I187" s="217">
        <v>1</v>
      </c>
      <c r="J187" s="217">
        <v>1</v>
      </c>
      <c r="K187" s="219">
        <v>0</v>
      </c>
      <c r="L187" s="191">
        <v>0</v>
      </c>
      <c r="M187" s="191">
        <v>0</v>
      </c>
      <c r="N187" s="191" t="s">
        <v>134</v>
      </c>
      <c r="O187" s="211" t="s">
        <v>212</v>
      </c>
      <c r="P187" s="191" t="s">
        <v>135</v>
      </c>
      <c r="Q187" s="279">
        <v>0</v>
      </c>
      <c r="R187" s="280">
        <v>1</v>
      </c>
      <c r="S187" s="281">
        <v>0</v>
      </c>
      <c r="T187" s="279">
        <v>1</v>
      </c>
      <c r="U187" s="281">
        <v>0</v>
      </c>
      <c r="V187" s="289">
        <v>0</v>
      </c>
      <c r="W187" s="191">
        <v>1</v>
      </c>
      <c r="X187" s="282">
        <v>0</v>
      </c>
      <c r="Y187" s="283">
        <v>0</v>
      </c>
      <c r="Z187" s="191">
        <v>0</v>
      </c>
      <c r="AA187" s="191" t="s">
        <v>134</v>
      </c>
      <c r="AB187" s="221" t="s">
        <v>130</v>
      </c>
      <c r="AC187" s="242" t="s">
        <v>216</v>
      </c>
      <c r="AD187" s="278" t="s">
        <v>270</v>
      </c>
      <c r="AE187" s="183" t="s">
        <v>172</v>
      </c>
      <c r="AG187" s="183" t="str">
        <f t="shared" si="5"/>
        <v>[0,x,x,x,x,1,1,0,0,0]-&gt;[0,1,0,1,0,0,1,0,0,0];   "DolphinDOS LoRom (A000)</v>
      </c>
    </row>
    <row r="188" spans="1:33" x14ac:dyDescent="0.25">
      <c r="A188" s="248"/>
      <c r="C188" s="220" t="s">
        <v>135</v>
      </c>
      <c r="D188" s="289">
        <v>0</v>
      </c>
      <c r="E188" s="233" t="s">
        <v>218</v>
      </c>
      <c r="F188" s="214" t="s">
        <v>218</v>
      </c>
      <c r="G188" s="214" t="s">
        <v>218</v>
      </c>
      <c r="H188" s="230" t="s">
        <v>218</v>
      </c>
      <c r="I188" s="191">
        <v>1</v>
      </c>
      <c r="J188" s="191">
        <v>1</v>
      </c>
      <c r="K188" s="221">
        <v>0</v>
      </c>
      <c r="L188" s="191">
        <v>0</v>
      </c>
      <c r="M188" s="191">
        <v>1</v>
      </c>
      <c r="N188" s="191" t="s">
        <v>134</v>
      </c>
      <c r="O188" s="211" t="s">
        <v>212</v>
      </c>
      <c r="P188" s="191" t="s">
        <v>135</v>
      </c>
      <c r="Q188" s="282">
        <v>0</v>
      </c>
      <c r="R188" s="276">
        <v>1</v>
      </c>
      <c r="S188" s="283">
        <v>0</v>
      </c>
      <c r="T188" s="282">
        <v>1</v>
      </c>
      <c r="U188" s="283">
        <v>0</v>
      </c>
      <c r="V188" s="289">
        <v>0</v>
      </c>
      <c r="W188" s="191">
        <v>1</v>
      </c>
      <c r="X188" s="282">
        <v>0</v>
      </c>
      <c r="Y188" s="283">
        <v>0</v>
      </c>
      <c r="Z188" s="191">
        <v>0</v>
      </c>
      <c r="AA188" s="191" t="s">
        <v>134</v>
      </c>
      <c r="AB188" s="221" t="s">
        <v>130</v>
      </c>
      <c r="AD188" s="305"/>
      <c r="AG188" s="183" t="str">
        <f t="shared" si="5"/>
        <v xml:space="preserve">[0,x,x,x,x,1,1,0,0,1]-&gt;[0,1,0,1,0,0,1,0,0,0];   </v>
      </c>
    </row>
    <row r="189" spans="1:33" x14ac:dyDescent="0.25">
      <c r="A189" s="248"/>
      <c r="C189" s="220" t="s">
        <v>135</v>
      </c>
      <c r="D189" s="289">
        <v>0</v>
      </c>
      <c r="E189" s="233" t="s">
        <v>218</v>
      </c>
      <c r="F189" s="214" t="s">
        <v>218</v>
      </c>
      <c r="G189" s="214" t="s">
        <v>218</v>
      </c>
      <c r="H189" s="230" t="s">
        <v>218</v>
      </c>
      <c r="I189" s="191">
        <v>1</v>
      </c>
      <c r="J189" s="191">
        <v>1</v>
      </c>
      <c r="K189" s="221">
        <v>0</v>
      </c>
      <c r="L189" s="191">
        <v>1</v>
      </c>
      <c r="M189" s="191">
        <v>0</v>
      </c>
      <c r="N189" s="191" t="s">
        <v>134</v>
      </c>
      <c r="O189" s="211" t="s">
        <v>212</v>
      </c>
      <c r="P189" s="191" t="s">
        <v>135</v>
      </c>
      <c r="Q189" s="282">
        <v>0</v>
      </c>
      <c r="R189" s="276">
        <v>1</v>
      </c>
      <c r="S189" s="283">
        <v>0</v>
      </c>
      <c r="T189" s="282">
        <v>1</v>
      </c>
      <c r="U189" s="283">
        <v>0</v>
      </c>
      <c r="V189" s="289">
        <v>0</v>
      </c>
      <c r="W189" s="191">
        <v>1</v>
      </c>
      <c r="X189" s="282">
        <v>0</v>
      </c>
      <c r="Y189" s="283">
        <v>0</v>
      </c>
      <c r="Z189" s="191">
        <v>0</v>
      </c>
      <c r="AA189" s="191" t="s">
        <v>134</v>
      </c>
      <c r="AB189" s="221" t="s">
        <v>130</v>
      </c>
      <c r="AD189" s="305"/>
      <c r="AE189" s="183" t="s">
        <v>170</v>
      </c>
      <c r="AG189" s="183" t="str">
        <f t="shared" si="5"/>
        <v xml:space="preserve">[0,x,x,x,x,1,1,0,1,0]-&gt;[0,1,0,1,0,0,1,0,0,0];   </v>
      </c>
    </row>
    <row r="190" spans="1:33" ht="15.75" thickBot="1" x14ac:dyDescent="0.3">
      <c r="A190" s="248"/>
      <c r="C190" s="220" t="s">
        <v>135</v>
      </c>
      <c r="D190" s="289">
        <v>0</v>
      </c>
      <c r="E190" s="233" t="s">
        <v>218</v>
      </c>
      <c r="F190" s="214" t="s">
        <v>218</v>
      </c>
      <c r="G190" s="214" t="s">
        <v>218</v>
      </c>
      <c r="H190" s="230" t="s">
        <v>218</v>
      </c>
      <c r="I190" s="223">
        <v>1</v>
      </c>
      <c r="J190" s="223">
        <v>1</v>
      </c>
      <c r="K190" s="225">
        <v>0</v>
      </c>
      <c r="L190" s="191">
        <v>1</v>
      </c>
      <c r="M190" s="191">
        <v>1</v>
      </c>
      <c r="N190" s="191" t="s">
        <v>134</v>
      </c>
      <c r="O190" s="211" t="s">
        <v>212</v>
      </c>
      <c r="P190" s="191" t="s">
        <v>135</v>
      </c>
      <c r="Q190" s="284">
        <v>0</v>
      </c>
      <c r="R190" s="277">
        <v>1</v>
      </c>
      <c r="S190" s="285">
        <v>0</v>
      </c>
      <c r="T190" s="284">
        <v>1</v>
      </c>
      <c r="U190" s="285">
        <v>0</v>
      </c>
      <c r="V190" s="290">
        <v>0</v>
      </c>
      <c r="W190" s="191">
        <v>1</v>
      </c>
      <c r="X190" s="284">
        <v>0</v>
      </c>
      <c r="Y190" s="285">
        <v>0</v>
      </c>
      <c r="Z190" s="191">
        <v>0</v>
      </c>
      <c r="AA190" s="191" t="s">
        <v>134</v>
      </c>
      <c r="AB190" s="221" t="s">
        <v>130</v>
      </c>
      <c r="AD190" s="306"/>
      <c r="AG190" s="183" t="str">
        <f t="shared" si="5"/>
        <v xml:space="preserve">[0,x,x,x,x,1,1,0,1,1]-&gt;[0,1,0,1,0,0,1,0,0,0];   </v>
      </c>
    </row>
    <row r="191" spans="1:33" x14ac:dyDescent="0.25">
      <c r="A191" s="248"/>
      <c r="C191" s="220" t="s">
        <v>135</v>
      </c>
      <c r="D191" s="289">
        <v>0</v>
      </c>
      <c r="E191" s="233" t="s">
        <v>218</v>
      </c>
      <c r="F191" s="214" t="s">
        <v>218</v>
      </c>
      <c r="G191" s="214" t="s">
        <v>218</v>
      </c>
      <c r="H191" s="230" t="s">
        <v>218</v>
      </c>
      <c r="I191" s="217">
        <v>1</v>
      </c>
      <c r="J191" s="217">
        <v>1</v>
      </c>
      <c r="K191" s="219">
        <v>1</v>
      </c>
      <c r="L191" s="191">
        <v>0</v>
      </c>
      <c r="M191" s="191">
        <v>0</v>
      </c>
      <c r="N191" s="191" t="s">
        <v>134</v>
      </c>
      <c r="O191" s="211" t="s">
        <v>212</v>
      </c>
      <c r="P191" s="191" t="s">
        <v>135</v>
      </c>
      <c r="Q191" s="279">
        <v>0</v>
      </c>
      <c r="R191" s="280">
        <v>1</v>
      </c>
      <c r="S191" s="281">
        <v>0</v>
      </c>
      <c r="T191" s="282">
        <v>1</v>
      </c>
      <c r="U191" s="283">
        <v>1</v>
      </c>
      <c r="V191" s="289">
        <v>0</v>
      </c>
      <c r="W191" s="191">
        <v>1</v>
      </c>
      <c r="X191" s="282">
        <v>0</v>
      </c>
      <c r="Y191" s="283">
        <v>0</v>
      </c>
      <c r="Z191" s="191">
        <v>0</v>
      </c>
      <c r="AA191" s="191" t="s">
        <v>134</v>
      </c>
      <c r="AB191" s="221" t="s">
        <v>130</v>
      </c>
      <c r="AC191" s="242" t="s">
        <v>216</v>
      </c>
      <c r="AD191" s="278" t="s">
        <v>269</v>
      </c>
      <c r="AE191" s="183" t="s">
        <v>168</v>
      </c>
      <c r="AG191" s="183" t="str">
        <f t="shared" si="5"/>
        <v>[0,x,x,x,x,1,1,1,0,0]-&gt;[0,1,0,1,1,0,1,0,0,0];   "DolphinDOS HiRom (C000)</v>
      </c>
    </row>
    <row r="192" spans="1:33" x14ac:dyDescent="0.25">
      <c r="A192" s="248"/>
      <c r="C192" s="220" t="s">
        <v>135</v>
      </c>
      <c r="D192" s="289">
        <v>0</v>
      </c>
      <c r="E192" s="233" t="s">
        <v>218</v>
      </c>
      <c r="F192" s="214" t="s">
        <v>218</v>
      </c>
      <c r="G192" s="214" t="s">
        <v>218</v>
      </c>
      <c r="H192" s="230" t="s">
        <v>218</v>
      </c>
      <c r="I192" s="191">
        <v>1</v>
      </c>
      <c r="J192" s="191">
        <v>1</v>
      </c>
      <c r="K192" s="221">
        <v>1</v>
      </c>
      <c r="L192" s="191">
        <v>0</v>
      </c>
      <c r="M192" s="191">
        <v>1</v>
      </c>
      <c r="N192" s="191" t="s">
        <v>134</v>
      </c>
      <c r="O192" s="211" t="s">
        <v>212</v>
      </c>
      <c r="P192" s="191" t="s">
        <v>135</v>
      </c>
      <c r="Q192" s="282">
        <v>0</v>
      </c>
      <c r="R192" s="276">
        <v>1</v>
      </c>
      <c r="S192" s="283">
        <v>0</v>
      </c>
      <c r="T192" s="282">
        <v>1</v>
      </c>
      <c r="U192" s="283">
        <v>1</v>
      </c>
      <c r="V192" s="289">
        <v>0</v>
      </c>
      <c r="W192" s="191">
        <v>1</v>
      </c>
      <c r="X192" s="282">
        <v>0</v>
      </c>
      <c r="Y192" s="283">
        <v>0</v>
      </c>
      <c r="Z192" s="191">
        <v>0</v>
      </c>
      <c r="AA192" s="191" t="s">
        <v>134</v>
      </c>
      <c r="AB192" s="221" t="s">
        <v>130</v>
      </c>
      <c r="AD192" s="305"/>
      <c r="AG192" s="183" t="str">
        <f t="shared" si="5"/>
        <v xml:space="preserve">[0,x,x,x,x,1,1,1,0,1]-&gt;[0,1,0,1,1,0,1,0,0,0];   </v>
      </c>
    </row>
    <row r="193" spans="1:33" x14ac:dyDescent="0.25">
      <c r="A193" s="248"/>
      <c r="C193" s="220" t="s">
        <v>135</v>
      </c>
      <c r="D193" s="289">
        <v>0</v>
      </c>
      <c r="E193" s="233" t="s">
        <v>218</v>
      </c>
      <c r="F193" s="214" t="s">
        <v>218</v>
      </c>
      <c r="G193" s="214" t="s">
        <v>218</v>
      </c>
      <c r="H193" s="230" t="s">
        <v>218</v>
      </c>
      <c r="I193" s="191">
        <v>1</v>
      </c>
      <c r="J193" s="191">
        <v>1</v>
      </c>
      <c r="K193" s="221">
        <v>1</v>
      </c>
      <c r="L193" s="191">
        <v>1</v>
      </c>
      <c r="M193" s="191">
        <v>0</v>
      </c>
      <c r="N193" s="191" t="s">
        <v>134</v>
      </c>
      <c r="O193" s="211" t="s">
        <v>212</v>
      </c>
      <c r="P193" s="191" t="s">
        <v>135</v>
      </c>
      <c r="Q193" s="282">
        <v>0</v>
      </c>
      <c r="R193" s="276">
        <v>1</v>
      </c>
      <c r="S193" s="283">
        <v>0</v>
      </c>
      <c r="T193" s="282">
        <v>1</v>
      </c>
      <c r="U193" s="283">
        <v>1</v>
      </c>
      <c r="V193" s="289">
        <v>0</v>
      </c>
      <c r="W193" s="191">
        <v>1</v>
      </c>
      <c r="X193" s="282">
        <v>0</v>
      </c>
      <c r="Y193" s="283">
        <v>0</v>
      </c>
      <c r="Z193" s="191">
        <v>0</v>
      </c>
      <c r="AA193" s="191" t="s">
        <v>134</v>
      </c>
      <c r="AB193" s="221" t="s">
        <v>130</v>
      </c>
      <c r="AD193" s="305"/>
      <c r="AE193" s="183" t="s">
        <v>166</v>
      </c>
      <c r="AG193" s="183" t="str">
        <f t="shared" si="5"/>
        <v xml:space="preserve">[0,x,x,x,x,1,1,1,1,0]-&gt;[0,1,0,1,1,0,1,0,0,0];   </v>
      </c>
    </row>
    <row r="194" spans="1:33" ht="15.75" thickBot="1" x14ac:dyDescent="0.3">
      <c r="A194" s="249"/>
      <c r="B194" s="244"/>
      <c r="C194" s="222" t="s">
        <v>135</v>
      </c>
      <c r="D194" s="290">
        <v>0</v>
      </c>
      <c r="E194" s="234" t="s">
        <v>218</v>
      </c>
      <c r="F194" s="229" t="s">
        <v>218</v>
      </c>
      <c r="G194" s="229" t="s">
        <v>218</v>
      </c>
      <c r="H194" s="231" t="s">
        <v>218</v>
      </c>
      <c r="I194" s="223">
        <v>1</v>
      </c>
      <c r="J194" s="223">
        <v>1</v>
      </c>
      <c r="K194" s="225">
        <v>1</v>
      </c>
      <c r="L194" s="223">
        <v>1</v>
      </c>
      <c r="M194" s="223">
        <v>1</v>
      </c>
      <c r="N194" s="223" t="s">
        <v>134</v>
      </c>
      <c r="O194" s="224" t="s">
        <v>212</v>
      </c>
      <c r="P194" s="223" t="s">
        <v>135</v>
      </c>
      <c r="Q194" s="284">
        <v>0</v>
      </c>
      <c r="R194" s="277">
        <v>1</v>
      </c>
      <c r="S194" s="285">
        <v>0</v>
      </c>
      <c r="T194" s="284">
        <v>1</v>
      </c>
      <c r="U194" s="285">
        <v>1</v>
      </c>
      <c r="V194" s="290">
        <v>0</v>
      </c>
      <c r="W194" s="223">
        <v>1</v>
      </c>
      <c r="X194" s="284">
        <v>0</v>
      </c>
      <c r="Y194" s="285">
        <v>0</v>
      </c>
      <c r="Z194" s="223">
        <v>0</v>
      </c>
      <c r="AA194" s="223" t="s">
        <v>134</v>
      </c>
      <c r="AB194" s="225" t="s">
        <v>130</v>
      </c>
      <c r="AC194" s="245"/>
      <c r="AD194" s="306"/>
      <c r="AG194" s="183" t="str">
        <f t="shared" si="5"/>
        <v xml:space="preserve">[0,x,x,x,x,1,1,1,1,1]-&gt;[0,1,0,1,1,0,1,0,0,0];   </v>
      </c>
    </row>
    <row r="195" spans="1:33" ht="15.75" thickTop="1" x14ac:dyDescent="0.25"/>
  </sheetData>
  <autoFilter ref="D1:Z194">
    <filterColumn colId="16">
      <filters>
        <filter val="0"/>
        <filter val="1"/>
        <filter val="O7"/>
      </filters>
    </filterColumn>
  </autoFilter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7"/>
  <sheetViews>
    <sheetView zoomScaleNormal="100" workbookViewId="0">
      <pane ySplit="2" topLeftCell="A3" activePane="bottomLeft" state="frozen"/>
      <selection pane="bottomLeft" activeCell="H27" sqref="H27:H34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202" bestFit="1" customWidth="1"/>
    <col min="14" max="14" width="20.85546875" style="197" customWidth="1"/>
    <col min="15" max="15" width="6.28515625" style="202" bestFit="1" customWidth="1"/>
    <col min="16" max="16" width="20.85546875" style="197" customWidth="1"/>
    <col min="17" max="17" width="4.28515625" style="197" customWidth="1"/>
    <col min="18" max="18" width="20.85546875" style="202" customWidth="1"/>
    <col min="19" max="19" width="6.28515625" style="197" bestFit="1" customWidth="1"/>
    <col min="20" max="20" width="21.28515625" style="197"/>
    <col min="21" max="21" width="4.28515625" style="197" customWidth="1"/>
    <col min="22" max="22" width="21.28515625" style="197"/>
    <col min="23" max="23" width="6.28515625" style="197" bestFit="1" customWidth="1"/>
    <col min="24" max="24" width="21.28515625" style="197"/>
    <col min="25" max="25" width="4.28515625" style="197" customWidth="1"/>
    <col min="26" max="26" width="21.28515625" style="197"/>
    <col min="27" max="27" width="6.28515625" style="197" bestFit="1" customWidth="1"/>
    <col min="28" max="28" width="21.28515625" style="197"/>
    <col min="29" max="29" width="4.28515625" style="197" customWidth="1"/>
    <col min="30" max="30" width="21.28515625" style="197"/>
    <col min="31" max="31" width="6.28515625" style="197" bestFit="1" customWidth="1"/>
    <col min="32" max="16384" width="21.28515625" style="197"/>
  </cols>
  <sheetData>
    <row r="1" spans="1:31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160</v>
      </c>
      <c r="I1" s="202"/>
      <c r="J1" s="207" t="s">
        <v>158</v>
      </c>
      <c r="K1" s="202"/>
      <c r="L1" s="207" t="s">
        <v>159</v>
      </c>
      <c r="N1" s="207" t="s">
        <v>156</v>
      </c>
      <c r="P1" s="207" t="s">
        <v>157</v>
      </c>
      <c r="Q1" s="202"/>
      <c r="R1" s="207" t="s">
        <v>228</v>
      </c>
      <c r="S1" s="202"/>
      <c r="T1" s="207" t="s">
        <v>224</v>
      </c>
      <c r="U1" s="202"/>
      <c r="V1" s="207" t="s">
        <v>223</v>
      </c>
      <c r="W1" s="202"/>
      <c r="X1" s="207" t="s">
        <v>222</v>
      </c>
      <c r="Y1" s="202"/>
      <c r="Z1" s="207" t="s">
        <v>162</v>
      </c>
      <c r="AA1" s="202"/>
      <c r="AB1" s="207">
        <v>1581</v>
      </c>
      <c r="AC1" s="202"/>
      <c r="AD1" s="207" t="s">
        <v>229</v>
      </c>
      <c r="AE1" s="202"/>
    </row>
    <row r="2" spans="1:31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/>
      <c r="M2" s="208"/>
      <c r="N2" s="202"/>
      <c r="O2" s="208"/>
      <c r="P2" s="202"/>
      <c r="Q2" s="208"/>
      <c r="S2" s="208"/>
      <c r="U2" s="208"/>
      <c r="W2" s="208"/>
      <c r="Y2" s="208"/>
      <c r="AA2" s="208"/>
      <c r="AC2" s="208"/>
      <c r="AE2" s="208"/>
    </row>
    <row r="3" spans="1:31" ht="15" customHeight="1" x14ac:dyDescent="0.25">
      <c r="B3" s="347" t="s">
        <v>230</v>
      </c>
      <c r="D3" s="347" t="s">
        <v>230</v>
      </c>
      <c r="E3" s="197"/>
      <c r="F3" s="347" t="s">
        <v>230</v>
      </c>
      <c r="G3" s="202"/>
      <c r="H3" s="356" t="s">
        <v>287</v>
      </c>
      <c r="J3" s="356" t="s">
        <v>231</v>
      </c>
      <c r="K3" s="202"/>
      <c r="L3" s="356" t="s">
        <v>231</v>
      </c>
      <c r="M3" s="197"/>
      <c r="N3" s="356" t="s">
        <v>232</v>
      </c>
      <c r="P3" s="356" t="s">
        <v>232</v>
      </c>
      <c r="R3" s="356" t="s">
        <v>233</v>
      </c>
      <c r="S3" s="202"/>
      <c r="T3" s="347" t="s">
        <v>164</v>
      </c>
      <c r="V3" s="347" t="s">
        <v>164</v>
      </c>
      <c r="W3" s="202"/>
      <c r="X3" s="356" t="s">
        <v>225</v>
      </c>
      <c r="Z3" s="356" t="s">
        <v>163</v>
      </c>
      <c r="AA3" s="202"/>
      <c r="AB3" s="347" t="s">
        <v>164</v>
      </c>
      <c r="AD3" s="343" t="s">
        <v>234</v>
      </c>
      <c r="AE3" s="202"/>
    </row>
    <row r="4" spans="1:31" x14ac:dyDescent="0.25">
      <c r="B4" s="348"/>
      <c r="C4" s="202" t="s">
        <v>165</v>
      </c>
      <c r="D4" s="348"/>
      <c r="E4" s="197"/>
      <c r="F4" s="348"/>
      <c r="G4" s="202" t="s">
        <v>165</v>
      </c>
      <c r="H4" s="355"/>
      <c r="J4" s="355"/>
      <c r="K4" s="202" t="s">
        <v>165</v>
      </c>
      <c r="L4" s="355"/>
      <c r="M4" s="197"/>
      <c r="N4" s="355"/>
      <c r="O4" s="202" t="s">
        <v>165</v>
      </c>
      <c r="P4" s="355"/>
      <c r="R4" s="355"/>
      <c r="S4" s="202" t="s">
        <v>165</v>
      </c>
      <c r="T4" s="348"/>
      <c r="V4" s="348"/>
      <c r="W4" s="202" t="s">
        <v>165</v>
      </c>
      <c r="X4" s="355"/>
      <c r="Z4" s="355"/>
      <c r="AA4" s="202" t="s">
        <v>165</v>
      </c>
      <c r="AB4" s="348"/>
      <c r="AD4" s="344"/>
      <c r="AE4" s="202" t="s">
        <v>165</v>
      </c>
    </row>
    <row r="5" spans="1:31" x14ac:dyDescent="0.25">
      <c r="B5" s="348"/>
      <c r="D5" s="348"/>
      <c r="E5" s="197"/>
      <c r="F5" s="348"/>
      <c r="G5" s="202"/>
      <c r="H5" s="355"/>
      <c r="J5" s="355"/>
      <c r="K5" s="202"/>
      <c r="L5" s="355"/>
      <c r="M5" s="197"/>
      <c r="N5" s="355"/>
      <c r="P5" s="355"/>
      <c r="R5" s="355"/>
      <c r="S5" s="202"/>
      <c r="T5" s="348"/>
      <c r="V5" s="348"/>
      <c r="W5" s="202"/>
      <c r="X5" s="355"/>
      <c r="Z5" s="355"/>
      <c r="AA5" s="202"/>
      <c r="AB5" s="348"/>
      <c r="AD5" s="344"/>
      <c r="AE5" s="202"/>
    </row>
    <row r="6" spans="1:31" x14ac:dyDescent="0.25">
      <c r="B6" s="348"/>
      <c r="C6" s="202" t="s">
        <v>166</v>
      </c>
      <c r="D6" s="348"/>
      <c r="E6" s="197"/>
      <c r="F6" s="348"/>
      <c r="G6" s="202" t="s">
        <v>166</v>
      </c>
      <c r="H6" s="355"/>
      <c r="J6" s="355"/>
      <c r="K6" s="202" t="s">
        <v>166</v>
      </c>
      <c r="L6" s="355"/>
      <c r="M6" s="197"/>
      <c r="N6" s="355"/>
      <c r="O6" s="202" t="s">
        <v>166</v>
      </c>
      <c r="P6" s="355"/>
      <c r="R6" s="355"/>
      <c r="S6" s="202" t="s">
        <v>166</v>
      </c>
      <c r="T6" s="348"/>
      <c r="V6" s="348"/>
      <c r="W6" s="202" t="s">
        <v>166</v>
      </c>
      <c r="X6" s="355"/>
      <c r="Z6" s="355"/>
      <c r="AA6" s="202" t="s">
        <v>166</v>
      </c>
      <c r="AB6" s="348"/>
      <c r="AD6" s="344"/>
      <c r="AE6" s="202" t="s">
        <v>166</v>
      </c>
    </row>
    <row r="7" spans="1:31" x14ac:dyDescent="0.25">
      <c r="B7" s="348"/>
      <c r="D7" s="348"/>
      <c r="E7" s="197"/>
      <c r="F7" s="348"/>
      <c r="G7" s="202"/>
      <c r="H7" s="355"/>
      <c r="J7" s="355"/>
      <c r="K7" s="202"/>
      <c r="L7" s="355"/>
      <c r="M7" s="197"/>
      <c r="N7" s="355"/>
      <c r="P7" s="355"/>
      <c r="R7" s="355"/>
      <c r="S7" s="202"/>
      <c r="T7" s="348"/>
      <c r="V7" s="348"/>
      <c r="W7" s="202"/>
      <c r="X7" s="355"/>
      <c r="Z7" s="355"/>
      <c r="AA7" s="202"/>
      <c r="AB7" s="348"/>
      <c r="AD7" s="344"/>
      <c r="AE7" s="202"/>
    </row>
    <row r="8" spans="1:31" x14ac:dyDescent="0.25">
      <c r="B8" s="348"/>
      <c r="C8" s="202" t="s">
        <v>167</v>
      </c>
      <c r="D8" s="348"/>
      <c r="E8" s="197"/>
      <c r="F8" s="348"/>
      <c r="G8" s="202" t="s">
        <v>167</v>
      </c>
      <c r="H8" s="355"/>
      <c r="J8" s="355"/>
      <c r="K8" s="202" t="s">
        <v>167</v>
      </c>
      <c r="L8" s="355"/>
      <c r="M8" s="197"/>
      <c r="N8" s="355"/>
      <c r="O8" s="202" t="s">
        <v>167</v>
      </c>
      <c r="P8" s="355"/>
      <c r="R8" s="355"/>
      <c r="S8" s="202" t="s">
        <v>167</v>
      </c>
      <c r="T8" s="348"/>
      <c r="V8" s="348"/>
      <c r="W8" s="202" t="s">
        <v>167</v>
      </c>
      <c r="X8" s="355"/>
      <c r="Z8" s="355"/>
      <c r="AA8" s="202" t="s">
        <v>167</v>
      </c>
      <c r="AB8" s="348"/>
      <c r="AD8" s="344"/>
      <c r="AE8" s="202" t="s">
        <v>167</v>
      </c>
    </row>
    <row r="9" spans="1:31" x14ac:dyDescent="0.25">
      <c r="B9" s="348"/>
      <c r="D9" s="348"/>
      <c r="E9" s="197"/>
      <c r="F9" s="348"/>
      <c r="G9" s="202"/>
      <c r="H9" s="355"/>
      <c r="J9" s="355"/>
      <c r="K9" s="202"/>
      <c r="L9" s="355"/>
      <c r="M9" s="197"/>
      <c r="N9" s="355"/>
      <c r="P9" s="355"/>
      <c r="R9" s="355"/>
      <c r="S9" s="202"/>
      <c r="T9" s="348"/>
      <c r="V9" s="348"/>
      <c r="W9" s="202"/>
      <c r="X9" s="355"/>
      <c r="Z9" s="355"/>
      <c r="AA9" s="202"/>
      <c r="AB9" s="348"/>
      <c r="AD9" s="344"/>
      <c r="AE9" s="202"/>
    </row>
    <row r="10" spans="1:31" ht="15.75" thickBot="1" x14ac:dyDescent="0.3">
      <c r="A10" s="206" t="s">
        <v>1</v>
      </c>
      <c r="B10" s="371"/>
      <c r="C10" s="202" t="s">
        <v>168</v>
      </c>
      <c r="D10" s="371"/>
      <c r="E10" s="206" t="s">
        <v>1</v>
      </c>
      <c r="F10" s="371"/>
      <c r="G10" s="202" t="s">
        <v>168</v>
      </c>
      <c r="H10" s="365"/>
      <c r="I10" s="206" t="s">
        <v>1</v>
      </c>
      <c r="J10" s="365"/>
      <c r="K10" s="202" t="s">
        <v>168</v>
      </c>
      <c r="L10" s="365"/>
      <c r="M10" s="206" t="s">
        <v>1</v>
      </c>
      <c r="N10" s="365"/>
      <c r="O10" s="202" t="s">
        <v>168</v>
      </c>
      <c r="P10" s="365"/>
      <c r="Q10" s="206" t="s">
        <v>1</v>
      </c>
      <c r="R10" s="365"/>
      <c r="S10" s="202" t="s">
        <v>168</v>
      </c>
      <c r="T10" s="348"/>
      <c r="U10" s="206" t="s">
        <v>1</v>
      </c>
      <c r="V10" s="348"/>
      <c r="W10" s="202" t="s">
        <v>168</v>
      </c>
      <c r="X10" s="355"/>
      <c r="Y10" s="206" t="s">
        <v>1</v>
      </c>
      <c r="Z10" s="355"/>
      <c r="AA10" s="202" t="s">
        <v>168</v>
      </c>
      <c r="AB10" s="348"/>
      <c r="AC10" s="206" t="s">
        <v>1</v>
      </c>
      <c r="AD10" s="345"/>
      <c r="AE10" s="202" t="s">
        <v>168</v>
      </c>
    </row>
    <row r="11" spans="1:31" ht="15" customHeight="1" x14ac:dyDescent="0.25">
      <c r="B11" s="362" t="s">
        <v>235</v>
      </c>
      <c r="D11" s="362" t="s">
        <v>235</v>
      </c>
      <c r="E11" s="197"/>
      <c r="F11" s="362" t="s">
        <v>235</v>
      </c>
      <c r="G11" s="202"/>
      <c r="H11" s="362" t="s">
        <v>235</v>
      </c>
      <c r="J11" s="364" t="s">
        <v>236</v>
      </c>
      <c r="K11" s="202"/>
      <c r="L11" s="364" t="s">
        <v>236</v>
      </c>
      <c r="M11" s="197"/>
      <c r="N11" s="362" t="s">
        <v>235</v>
      </c>
      <c r="P11" s="362" t="s">
        <v>235</v>
      </c>
      <c r="R11" s="364" t="s">
        <v>237</v>
      </c>
      <c r="S11" s="202"/>
      <c r="T11" s="348"/>
      <c r="V11" s="348"/>
      <c r="W11" s="202"/>
      <c r="X11" s="355"/>
      <c r="Z11" s="355"/>
      <c r="AA11" s="202"/>
      <c r="AB11" s="348"/>
      <c r="AD11" s="343" t="s">
        <v>238</v>
      </c>
      <c r="AE11" s="202"/>
    </row>
    <row r="12" spans="1:31" x14ac:dyDescent="0.25">
      <c r="B12" s="348"/>
      <c r="C12" s="202" t="s">
        <v>169</v>
      </c>
      <c r="D12" s="348"/>
      <c r="E12" s="197"/>
      <c r="F12" s="348"/>
      <c r="G12" s="202" t="s">
        <v>169</v>
      </c>
      <c r="H12" s="348"/>
      <c r="J12" s="355"/>
      <c r="K12" s="202" t="s">
        <v>169</v>
      </c>
      <c r="L12" s="355"/>
      <c r="M12" s="197"/>
      <c r="N12" s="348"/>
      <c r="O12" s="202" t="s">
        <v>169</v>
      </c>
      <c r="P12" s="348"/>
      <c r="R12" s="355"/>
      <c r="S12" s="202" t="s">
        <v>169</v>
      </c>
      <c r="T12" s="348"/>
      <c r="V12" s="348"/>
      <c r="W12" s="202" t="s">
        <v>169</v>
      </c>
      <c r="X12" s="355"/>
      <c r="Z12" s="355"/>
      <c r="AA12" s="202" t="s">
        <v>169</v>
      </c>
      <c r="AB12" s="348"/>
      <c r="AD12" s="344"/>
      <c r="AE12" s="202" t="s">
        <v>169</v>
      </c>
    </row>
    <row r="13" spans="1:31" x14ac:dyDescent="0.25">
      <c r="B13" s="348"/>
      <c r="D13" s="348"/>
      <c r="E13" s="197"/>
      <c r="F13" s="348"/>
      <c r="G13" s="202"/>
      <c r="H13" s="348"/>
      <c r="J13" s="355"/>
      <c r="K13" s="202"/>
      <c r="L13" s="355"/>
      <c r="M13" s="197"/>
      <c r="N13" s="348"/>
      <c r="P13" s="348"/>
      <c r="R13" s="355"/>
      <c r="S13" s="202"/>
      <c r="T13" s="348"/>
      <c r="V13" s="348"/>
      <c r="W13" s="202"/>
      <c r="X13" s="355"/>
      <c r="Z13" s="355"/>
      <c r="AA13" s="202"/>
      <c r="AB13" s="348"/>
      <c r="AD13" s="344"/>
      <c r="AE13" s="202"/>
    </row>
    <row r="14" spans="1:31" ht="15.75" thickBot="1" x14ac:dyDescent="0.3">
      <c r="B14" s="348"/>
      <c r="C14" s="202" t="s">
        <v>170</v>
      </c>
      <c r="D14" s="348"/>
      <c r="E14" s="197"/>
      <c r="F14" s="348"/>
      <c r="G14" s="202" t="s">
        <v>170</v>
      </c>
      <c r="H14" s="348"/>
      <c r="J14" s="355"/>
      <c r="K14" s="202" t="s">
        <v>170</v>
      </c>
      <c r="L14" s="355"/>
      <c r="M14" s="197"/>
      <c r="N14" s="348"/>
      <c r="O14" s="202" t="s">
        <v>170</v>
      </c>
      <c r="P14" s="348"/>
      <c r="R14" s="355"/>
      <c r="S14" s="202" t="s">
        <v>170</v>
      </c>
      <c r="T14" s="348"/>
      <c r="V14" s="348"/>
      <c r="W14" s="202" t="s">
        <v>170</v>
      </c>
      <c r="X14" s="355"/>
      <c r="Z14" s="355"/>
      <c r="AA14" s="202" t="s">
        <v>170</v>
      </c>
      <c r="AB14" s="348"/>
      <c r="AD14" s="345"/>
      <c r="AE14" s="202" t="s">
        <v>170</v>
      </c>
    </row>
    <row r="15" spans="1:31" x14ac:dyDescent="0.25">
      <c r="B15" s="348"/>
      <c r="D15" s="348"/>
      <c r="E15" s="197"/>
      <c r="F15" s="348"/>
      <c r="G15" s="202"/>
      <c r="H15" s="348"/>
      <c r="J15" s="355"/>
      <c r="K15" s="202"/>
      <c r="L15" s="355"/>
      <c r="M15" s="197"/>
      <c r="N15" s="348"/>
      <c r="P15" s="348"/>
      <c r="R15" s="355"/>
      <c r="S15" s="202"/>
      <c r="T15" s="348"/>
      <c r="V15" s="348"/>
      <c r="W15" s="202"/>
      <c r="X15" s="355"/>
      <c r="Z15" s="355"/>
      <c r="AA15" s="202"/>
      <c r="AB15" s="348"/>
      <c r="AD15" s="346" t="s">
        <v>239</v>
      </c>
      <c r="AE15" s="202"/>
    </row>
    <row r="16" spans="1:31" x14ac:dyDescent="0.25">
      <c r="B16" s="348"/>
      <c r="C16" s="202" t="s">
        <v>171</v>
      </c>
      <c r="D16" s="348"/>
      <c r="E16" s="197"/>
      <c r="F16" s="348"/>
      <c r="G16" s="202" t="s">
        <v>171</v>
      </c>
      <c r="H16" s="348"/>
      <c r="J16" s="355"/>
      <c r="K16" s="202" t="s">
        <v>171</v>
      </c>
      <c r="L16" s="355"/>
      <c r="M16" s="197"/>
      <c r="N16" s="348"/>
      <c r="O16" s="202" t="s">
        <v>171</v>
      </c>
      <c r="P16" s="348"/>
      <c r="R16" s="355"/>
      <c r="S16" s="202" t="s">
        <v>171</v>
      </c>
      <c r="T16" s="348"/>
      <c r="V16" s="348"/>
      <c r="W16" s="202" t="s">
        <v>171</v>
      </c>
      <c r="X16" s="355"/>
      <c r="Z16" s="355"/>
      <c r="AA16" s="202" t="s">
        <v>171</v>
      </c>
      <c r="AB16" s="348"/>
      <c r="AD16" s="344"/>
      <c r="AE16" s="202" t="s">
        <v>171</v>
      </c>
    </row>
    <row r="17" spans="1:31" x14ac:dyDescent="0.25">
      <c r="B17" s="348"/>
      <c r="D17" s="348"/>
      <c r="E17" s="197"/>
      <c r="F17" s="348"/>
      <c r="G17" s="202"/>
      <c r="H17" s="348"/>
      <c r="J17" s="355"/>
      <c r="K17" s="202"/>
      <c r="L17" s="355"/>
      <c r="M17" s="197"/>
      <c r="N17" s="348"/>
      <c r="P17" s="348"/>
      <c r="R17" s="355"/>
      <c r="S17" s="202"/>
      <c r="T17" s="348"/>
      <c r="V17" s="348"/>
      <c r="W17" s="202"/>
      <c r="X17" s="355"/>
      <c r="Z17" s="355"/>
      <c r="AA17" s="202"/>
      <c r="AB17" s="348"/>
      <c r="AD17" s="344"/>
      <c r="AE17" s="202"/>
    </row>
    <row r="18" spans="1:31" ht="15.75" thickBot="1" x14ac:dyDescent="0.3">
      <c r="A18" s="205" t="s">
        <v>33</v>
      </c>
      <c r="B18" s="363"/>
      <c r="C18" s="208" t="s">
        <v>172</v>
      </c>
      <c r="D18" s="363"/>
      <c r="E18" s="205" t="s">
        <v>33</v>
      </c>
      <c r="F18" s="363"/>
      <c r="G18" s="208" t="s">
        <v>172</v>
      </c>
      <c r="H18" s="363"/>
      <c r="I18" s="205" t="s">
        <v>33</v>
      </c>
      <c r="J18" s="351"/>
      <c r="K18" s="208" t="s">
        <v>172</v>
      </c>
      <c r="L18" s="351"/>
      <c r="M18" s="205" t="s">
        <v>33</v>
      </c>
      <c r="N18" s="363"/>
      <c r="O18" s="208" t="s">
        <v>172</v>
      </c>
      <c r="P18" s="363"/>
      <c r="Q18" s="209" t="s">
        <v>33</v>
      </c>
      <c r="R18" s="351"/>
      <c r="S18" s="208" t="s">
        <v>172</v>
      </c>
      <c r="T18" s="348"/>
      <c r="U18" s="209" t="s">
        <v>33</v>
      </c>
      <c r="V18" s="348"/>
      <c r="W18" s="208" t="s">
        <v>172</v>
      </c>
      <c r="X18" s="355"/>
      <c r="Y18" s="209" t="s">
        <v>33</v>
      </c>
      <c r="Z18" s="355"/>
      <c r="AA18" s="208" t="s">
        <v>172</v>
      </c>
      <c r="AB18" s="348"/>
      <c r="AC18" s="209" t="s">
        <v>33</v>
      </c>
      <c r="AD18" s="345"/>
      <c r="AE18" s="208" t="s">
        <v>172</v>
      </c>
    </row>
    <row r="19" spans="1:31" ht="15" customHeight="1" x14ac:dyDescent="0.25">
      <c r="B19" s="372" t="s">
        <v>240</v>
      </c>
      <c r="D19" s="198"/>
      <c r="E19" s="197"/>
      <c r="F19" s="372" t="s">
        <v>240</v>
      </c>
      <c r="G19" s="202"/>
      <c r="H19" s="356" t="s">
        <v>288</v>
      </c>
      <c r="J19" s="350" t="s">
        <v>173</v>
      </c>
      <c r="K19" s="202"/>
      <c r="L19" s="350" t="s">
        <v>173</v>
      </c>
      <c r="M19" s="197"/>
      <c r="N19" s="198"/>
      <c r="P19" s="198"/>
      <c r="R19" s="350" t="s">
        <v>241</v>
      </c>
      <c r="S19" s="202"/>
      <c r="T19" s="348"/>
      <c r="V19" s="348"/>
      <c r="W19" s="202"/>
      <c r="X19" s="355"/>
      <c r="Z19" s="355"/>
      <c r="AA19" s="202"/>
      <c r="AB19" s="348"/>
      <c r="AD19" s="346" t="s">
        <v>242</v>
      </c>
      <c r="AE19" s="202"/>
    </row>
    <row r="20" spans="1:31" x14ac:dyDescent="0.25">
      <c r="B20" s="367"/>
      <c r="C20" s="202" t="s">
        <v>175</v>
      </c>
      <c r="D20" s="198"/>
      <c r="E20" s="197"/>
      <c r="F20" s="367"/>
      <c r="G20" s="202" t="s">
        <v>175</v>
      </c>
      <c r="H20" s="355"/>
      <c r="J20" s="355"/>
      <c r="K20" s="202" t="s">
        <v>175</v>
      </c>
      <c r="L20" s="355"/>
      <c r="M20" s="197"/>
      <c r="N20" s="198"/>
      <c r="O20" s="202" t="s">
        <v>175</v>
      </c>
      <c r="P20" s="198"/>
      <c r="R20" s="355"/>
      <c r="S20" s="202" t="s">
        <v>175</v>
      </c>
      <c r="T20" s="348"/>
      <c r="V20" s="348"/>
      <c r="W20" s="202" t="s">
        <v>175</v>
      </c>
      <c r="X20" s="355"/>
      <c r="Z20" s="355"/>
      <c r="AA20" s="202" t="s">
        <v>175</v>
      </c>
      <c r="AB20" s="348"/>
      <c r="AD20" s="344"/>
      <c r="AE20" s="202" t="s">
        <v>175</v>
      </c>
    </row>
    <row r="21" spans="1:31" x14ac:dyDescent="0.25">
      <c r="B21" s="367"/>
      <c r="D21" s="198"/>
      <c r="E21" s="197"/>
      <c r="F21" s="367"/>
      <c r="G21" s="202"/>
      <c r="H21" s="355"/>
      <c r="J21" s="355"/>
      <c r="K21" s="202"/>
      <c r="L21" s="355"/>
      <c r="M21" s="197"/>
      <c r="N21" s="198"/>
      <c r="P21" s="198"/>
      <c r="R21" s="355"/>
      <c r="S21" s="202"/>
      <c r="T21" s="348"/>
      <c r="V21" s="348"/>
      <c r="W21" s="202"/>
      <c r="X21" s="355"/>
      <c r="Z21" s="355"/>
      <c r="AA21" s="202"/>
      <c r="AB21" s="348"/>
      <c r="AD21" s="344"/>
      <c r="AE21" s="202"/>
    </row>
    <row r="22" spans="1:31" x14ac:dyDescent="0.25">
      <c r="A22" s="197" t="s">
        <v>8</v>
      </c>
      <c r="B22" s="367"/>
      <c r="C22" s="202" t="s">
        <v>176</v>
      </c>
      <c r="D22" s="199"/>
      <c r="E22" s="197" t="s">
        <v>8</v>
      </c>
      <c r="F22" s="367"/>
      <c r="G22" s="202" t="s">
        <v>176</v>
      </c>
      <c r="H22" s="355"/>
      <c r="I22" s="197" t="s">
        <v>8</v>
      </c>
      <c r="J22" s="355"/>
      <c r="K22" s="202" t="s">
        <v>176</v>
      </c>
      <c r="L22" s="355"/>
      <c r="M22" s="197" t="s">
        <v>8</v>
      </c>
      <c r="N22" s="199"/>
      <c r="O22" s="202" t="s">
        <v>176</v>
      </c>
      <c r="P22" s="199"/>
      <c r="Q22" s="197" t="s">
        <v>8</v>
      </c>
      <c r="R22" s="355"/>
      <c r="S22" s="202" t="s">
        <v>176</v>
      </c>
      <c r="T22" s="348"/>
      <c r="U22" s="197" t="s">
        <v>8</v>
      </c>
      <c r="V22" s="348"/>
      <c r="W22" s="202" t="s">
        <v>176</v>
      </c>
      <c r="X22" s="355"/>
      <c r="Y22" s="197" t="s">
        <v>8</v>
      </c>
      <c r="Z22" s="355"/>
      <c r="AA22" s="202" t="s">
        <v>176</v>
      </c>
      <c r="AB22" s="348"/>
      <c r="AC22" s="197" t="s">
        <v>8</v>
      </c>
      <c r="AD22" s="344"/>
      <c r="AE22" s="202" t="s">
        <v>176</v>
      </c>
    </row>
    <row r="23" spans="1:31" x14ac:dyDescent="0.25">
      <c r="B23" s="367"/>
      <c r="D23" s="198"/>
      <c r="E23" s="197"/>
      <c r="F23" s="367"/>
      <c r="G23" s="202"/>
      <c r="H23" s="355"/>
      <c r="J23" s="355" t="s">
        <v>174</v>
      </c>
      <c r="K23" s="202"/>
      <c r="L23" s="355" t="s">
        <v>174</v>
      </c>
      <c r="M23" s="197"/>
      <c r="N23" s="198"/>
      <c r="P23" s="198"/>
      <c r="R23" s="355"/>
      <c r="S23" s="202"/>
      <c r="T23" s="348"/>
      <c r="V23" s="348"/>
      <c r="W23" s="202"/>
      <c r="X23" s="355"/>
      <c r="Z23" s="355"/>
      <c r="AA23" s="202"/>
      <c r="AB23" s="348"/>
      <c r="AD23" s="344"/>
      <c r="AE23" s="202"/>
    </row>
    <row r="24" spans="1:31" x14ac:dyDescent="0.25">
      <c r="B24" s="367"/>
      <c r="C24" s="202" t="s">
        <v>177</v>
      </c>
      <c r="D24" s="198"/>
      <c r="E24" s="197"/>
      <c r="F24" s="367"/>
      <c r="G24" s="202" t="s">
        <v>177</v>
      </c>
      <c r="H24" s="355"/>
      <c r="J24" s="355"/>
      <c r="K24" s="202" t="s">
        <v>177</v>
      </c>
      <c r="L24" s="355"/>
      <c r="M24" s="197"/>
      <c r="N24" s="198"/>
      <c r="O24" s="202" t="s">
        <v>177</v>
      </c>
      <c r="P24" s="198"/>
      <c r="R24" s="355"/>
      <c r="S24" s="202" t="s">
        <v>177</v>
      </c>
      <c r="T24" s="348"/>
      <c r="V24" s="348"/>
      <c r="W24" s="202" t="s">
        <v>177</v>
      </c>
      <c r="X24" s="355"/>
      <c r="Z24" s="355"/>
      <c r="AA24" s="202" t="s">
        <v>177</v>
      </c>
      <c r="AB24" s="348"/>
      <c r="AD24" s="344"/>
      <c r="AE24" s="202" t="s">
        <v>177</v>
      </c>
    </row>
    <row r="25" spans="1:31" x14ac:dyDescent="0.25">
      <c r="B25" s="367"/>
      <c r="D25" s="198"/>
      <c r="E25" s="197"/>
      <c r="F25" s="367"/>
      <c r="G25" s="202"/>
      <c r="H25" s="355"/>
      <c r="J25" s="355"/>
      <c r="K25" s="202"/>
      <c r="L25" s="355"/>
      <c r="M25" s="197"/>
      <c r="N25" s="198"/>
      <c r="P25" s="198"/>
      <c r="R25" s="355"/>
      <c r="S25" s="202"/>
      <c r="T25" s="348"/>
      <c r="V25" s="348"/>
      <c r="W25" s="202"/>
      <c r="X25" s="355"/>
      <c r="Z25" s="355"/>
      <c r="AA25" s="202"/>
      <c r="AB25" s="348"/>
      <c r="AD25" s="344"/>
      <c r="AE25" s="202"/>
    </row>
    <row r="26" spans="1:31" ht="15.75" thickBot="1" x14ac:dyDescent="0.3">
      <c r="A26" s="206" t="s">
        <v>1</v>
      </c>
      <c r="B26" s="373"/>
      <c r="C26" s="202" t="s">
        <v>178</v>
      </c>
      <c r="D26" s="199"/>
      <c r="E26" s="206" t="s">
        <v>1</v>
      </c>
      <c r="F26" s="373"/>
      <c r="G26" s="202" t="s">
        <v>178</v>
      </c>
      <c r="H26" s="351"/>
      <c r="I26" s="206" t="s">
        <v>1</v>
      </c>
      <c r="J26" s="351"/>
      <c r="K26" s="202" t="s">
        <v>178</v>
      </c>
      <c r="L26" s="351"/>
      <c r="M26" s="206" t="s">
        <v>1</v>
      </c>
      <c r="N26" s="199"/>
      <c r="O26" s="202" t="s">
        <v>178</v>
      </c>
      <c r="P26" s="199"/>
      <c r="Q26" s="206" t="s">
        <v>1</v>
      </c>
      <c r="R26" s="351"/>
      <c r="S26" s="202" t="s">
        <v>178</v>
      </c>
      <c r="T26" s="348"/>
      <c r="U26" s="206" t="s">
        <v>1</v>
      </c>
      <c r="V26" s="348"/>
      <c r="W26" s="202" t="s">
        <v>178</v>
      </c>
      <c r="X26" s="355"/>
      <c r="Y26" s="206" t="s">
        <v>1</v>
      </c>
      <c r="Z26" s="355"/>
      <c r="AA26" s="202" t="s">
        <v>178</v>
      </c>
      <c r="AB26" s="348"/>
      <c r="AC26" s="206" t="s">
        <v>1</v>
      </c>
      <c r="AD26" s="345"/>
      <c r="AE26" s="202" t="s">
        <v>178</v>
      </c>
    </row>
    <row r="27" spans="1:31" ht="15" customHeight="1" x14ac:dyDescent="0.25">
      <c r="B27" s="366" t="s">
        <v>243</v>
      </c>
      <c r="D27" s="198"/>
      <c r="E27" s="197"/>
      <c r="F27" s="366" t="s">
        <v>243</v>
      </c>
      <c r="G27" s="202"/>
      <c r="H27" s="350" t="s">
        <v>179</v>
      </c>
      <c r="J27" s="350" t="s">
        <v>179</v>
      </c>
      <c r="K27" s="202"/>
      <c r="L27" s="350" t="s">
        <v>244</v>
      </c>
      <c r="M27" s="197"/>
      <c r="N27" s="366" t="s">
        <v>243</v>
      </c>
      <c r="P27" s="366" t="s">
        <v>243</v>
      </c>
      <c r="R27" s="356" t="s">
        <v>245</v>
      </c>
      <c r="S27" s="202"/>
      <c r="T27" s="348"/>
      <c r="V27" s="348"/>
      <c r="W27" s="202"/>
      <c r="X27" s="355"/>
      <c r="Z27" s="355"/>
      <c r="AA27" s="202"/>
      <c r="AB27" s="348"/>
      <c r="AD27" s="346" t="s">
        <v>246</v>
      </c>
      <c r="AE27" s="202"/>
    </row>
    <row r="28" spans="1:31" x14ac:dyDescent="0.25">
      <c r="B28" s="367"/>
      <c r="C28" s="202" t="s">
        <v>180</v>
      </c>
      <c r="D28" s="198"/>
      <c r="E28" s="197"/>
      <c r="F28" s="367"/>
      <c r="G28" s="202" t="s">
        <v>180</v>
      </c>
      <c r="H28" s="355"/>
      <c r="J28" s="355"/>
      <c r="K28" s="202" t="s">
        <v>180</v>
      </c>
      <c r="L28" s="355"/>
      <c r="M28" s="197"/>
      <c r="N28" s="369"/>
      <c r="O28" s="202" t="s">
        <v>180</v>
      </c>
      <c r="P28" s="369"/>
      <c r="R28" s="355"/>
      <c r="S28" s="202" t="s">
        <v>180</v>
      </c>
      <c r="T28" s="348"/>
      <c r="V28" s="348"/>
      <c r="W28" s="202" t="s">
        <v>180</v>
      </c>
      <c r="X28" s="355"/>
      <c r="Z28" s="355"/>
      <c r="AA28" s="202" t="s">
        <v>180</v>
      </c>
      <c r="AB28" s="348"/>
      <c r="AD28" s="344"/>
      <c r="AE28" s="202" t="s">
        <v>180</v>
      </c>
    </row>
    <row r="29" spans="1:31" x14ac:dyDescent="0.25">
      <c r="B29" s="367"/>
      <c r="D29" s="198"/>
      <c r="E29" s="197"/>
      <c r="F29" s="367"/>
      <c r="G29" s="202"/>
      <c r="H29" s="355"/>
      <c r="J29" s="355"/>
      <c r="K29" s="202"/>
      <c r="L29" s="355"/>
      <c r="M29" s="197"/>
      <c r="N29" s="369"/>
      <c r="P29" s="369"/>
      <c r="R29" s="355"/>
      <c r="S29" s="202"/>
      <c r="T29" s="348"/>
      <c r="V29" s="348"/>
      <c r="W29" s="202"/>
      <c r="X29" s="355"/>
      <c r="Z29" s="355"/>
      <c r="AA29" s="202"/>
      <c r="AB29" s="348"/>
      <c r="AD29" s="344"/>
      <c r="AE29" s="202"/>
    </row>
    <row r="30" spans="1:31" x14ac:dyDescent="0.25">
      <c r="A30" s="197" t="s">
        <v>8</v>
      </c>
      <c r="B30" s="367"/>
      <c r="C30" s="202" t="s">
        <v>181</v>
      </c>
      <c r="D30" s="199"/>
      <c r="E30" s="197" t="s">
        <v>8</v>
      </c>
      <c r="F30" s="367"/>
      <c r="G30" s="202" t="s">
        <v>181</v>
      </c>
      <c r="H30" s="355"/>
      <c r="I30" s="197" t="s">
        <v>8</v>
      </c>
      <c r="J30" s="355"/>
      <c r="K30" s="202" t="s">
        <v>181</v>
      </c>
      <c r="L30" s="355"/>
      <c r="M30" s="197" t="s">
        <v>8</v>
      </c>
      <c r="N30" s="369"/>
      <c r="O30" s="202" t="s">
        <v>181</v>
      </c>
      <c r="P30" s="369"/>
      <c r="Q30" s="197" t="s">
        <v>8</v>
      </c>
      <c r="R30" s="355"/>
      <c r="S30" s="202" t="s">
        <v>181</v>
      </c>
      <c r="T30" s="348"/>
      <c r="U30" s="197" t="s">
        <v>8</v>
      </c>
      <c r="V30" s="348"/>
      <c r="W30" s="202" t="s">
        <v>181</v>
      </c>
      <c r="X30" s="355"/>
      <c r="Y30" s="197" t="s">
        <v>8</v>
      </c>
      <c r="Z30" s="355"/>
      <c r="AA30" s="202" t="s">
        <v>181</v>
      </c>
      <c r="AB30" s="348"/>
      <c r="AC30" s="197" t="s">
        <v>8</v>
      </c>
      <c r="AD30" s="344"/>
      <c r="AE30" s="202" t="s">
        <v>181</v>
      </c>
    </row>
    <row r="31" spans="1:31" x14ac:dyDescent="0.25">
      <c r="B31" s="367"/>
      <c r="D31" s="198"/>
      <c r="E31" s="197"/>
      <c r="F31" s="367"/>
      <c r="G31" s="202"/>
      <c r="H31" s="355"/>
      <c r="J31" s="355"/>
      <c r="K31" s="202"/>
      <c r="L31" s="355"/>
      <c r="M31" s="197"/>
      <c r="N31" s="369"/>
      <c r="P31" s="369"/>
      <c r="R31" s="355"/>
      <c r="S31" s="202"/>
      <c r="T31" s="348"/>
      <c r="V31" s="348"/>
      <c r="W31" s="202"/>
      <c r="X31" s="355"/>
      <c r="Z31" s="355"/>
      <c r="AA31" s="202"/>
      <c r="AB31" s="348"/>
      <c r="AD31" s="344"/>
      <c r="AE31" s="202"/>
    </row>
    <row r="32" spans="1:31" x14ac:dyDescent="0.25">
      <c r="B32" s="367"/>
      <c r="C32" s="202" t="s">
        <v>182</v>
      </c>
      <c r="D32" s="198"/>
      <c r="E32" s="197"/>
      <c r="F32" s="367"/>
      <c r="G32" s="202" t="s">
        <v>182</v>
      </c>
      <c r="H32" s="355"/>
      <c r="J32" s="355"/>
      <c r="K32" s="202" t="s">
        <v>182</v>
      </c>
      <c r="L32" s="355"/>
      <c r="M32" s="197"/>
      <c r="N32" s="369"/>
      <c r="O32" s="202" t="s">
        <v>182</v>
      </c>
      <c r="P32" s="369"/>
      <c r="R32" s="355"/>
      <c r="S32" s="202" t="s">
        <v>182</v>
      </c>
      <c r="T32" s="348"/>
      <c r="V32" s="348"/>
      <c r="W32" s="202" t="s">
        <v>182</v>
      </c>
      <c r="X32" s="355"/>
      <c r="Z32" s="355"/>
      <c r="AA32" s="202" t="s">
        <v>182</v>
      </c>
      <c r="AB32" s="348"/>
      <c r="AD32" s="344"/>
      <c r="AE32" s="202" t="s">
        <v>182</v>
      </c>
    </row>
    <row r="33" spans="1:31" x14ac:dyDescent="0.25">
      <c r="B33" s="367"/>
      <c r="D33" s="198"/>
      <c r="E33" s="197"/>
      <c r="F33" s="367"/>
      <c r="G33" s="202"/>
      <c r="H33" s="355"/>
      <c r="J33" s="355"/>
      <c r="K33" s="202"/>
      <c r="L33" s="355"/>
      <c r="M33" s="197"/>
      <c r="N33" s="369"/>
      <c r="P33" s="369"/>
      <c r="R33" s="355"/>
      <c r="S33" s="202"/>
      <c r="T33" s="348"/>
      <c r="V33" s="348"/>
      <c r="W33" s="202"/>
      <c r="X33" s="355"/>
      <c r="Z33" s="355"/>
      <c r="AA33" s="202"/>
      <c r="AB33" s="348"/>
      <c r="AD33" s="344"/>
      <c r="AE33" s="202"/>
    </row>
    <row r="34" spans="1:31" ht="15.75" thickBot="1" x14ac:dyDescent="0.3">
      <c r="A34" s="205" t="s">
        <v>0</v>
      </c>
      <c r="B34" s="368"/>
      <c r="C34" s="208" t="s">
        <v>183</v>
      </c>
      <c r="D34" s="199"/>
      <c r="E34" s="205" t="s">
        <v>0</v>
      </c>
      <c r="F34" s="368"/>
      <c r="G34" s="208" t="s">
        <v>183</v>
      </c>
      <c r="H34" s="351"/>
      <c r="I34" s="205" t="s">
        <v>0</v>
      </c>
      <c r="J34" s="351"/>
      <c r="K34" s="208" t="s">
        <v>183</v>
      </c>
      <c r="L34" s="351"/>
      <c r="M34" s="205" t="s">
        <v>0</v>
      </c>
      <c r="N34" s="370"/>
      <c r="O34" s="208" t="s">
        <v>183</v>
      </c>
      <c r="P34" s="370"/>
      <c r="Q34" s="209" t="s">
        <v>0</v>
      </c>
      <c r="R34" s="365"/>
      <c r="S34" s="208" t="s">
        <v>183</v>
      </c>
      <c r="T34" s="348"/>
      <c r="U34" s="209" t="s">
        <v>0</v>
      </c>
      <c r="V34" s="348"/>
      <c r="W34" s="208" t="s">
        <v>183</v>
      </c>
      <c r="X34" s="351"/>
      <c r="Y34" s="209" t="s">
        <v>0</v>
      </c>
      <c r="Z34" s="351"/>
      <c r="AA34" s="208" t="s">
        <v>183</v>
      </c>
      <c r="AB34" s="348"/>
      <c r="AC34" s="209" t="s">
        <v>0</v>
      </c>
      <c r="AD34" s="344"/>
      <c r="AE34" s="208" t="s">
        <v>183</v>
      </c>
    </row>
    <row r="35" spans="1:31" ht="15.75" customHeight="1" thickBot="1" x14ac:dyDescent="0.3">
      <c r="B35" s="204" t="s">
        <v>184</v>
      </c>
      <c r="D35" s="198"/>
      <c r="E35" s="197"/>
      <c r="F35" s="204" t="s">
        <v>184</v>
      </c>
      <c r="G35" s="202"/>
      <c r="H35" s="204" t="s">
        <v>184</v>
      </c>
      <c r="J35" s="198"/>
      <c r="K35" s="202"/>
      <c r="L35" s="350" t="s">
        <v>179</v>
      </c>
      <c r="M35" s="197"/>
      <c r="N35" s="350" t="s">
        <v>173</v>
      </c>
      <c r="P35" s="350" t="s">
        <v>173</v>
      </c>
      <c r="R35" s="204" t="s">
        <v>184</v>
      </c>
      <c r="S35" s="202"/>
      <c r="T35" s="341" t="s">
        <v>247</v>
      </c>
      <c r="V35" s="271" t="s">
        <v>248</v>
      </c>
      <c r="W35" s="202"/>
      <c r="X35" s="350" t="s">
        <v>173</v>
      </c>
      <c r="Z35" s="350" t="s">
        <v>179</v>
      </c>
      <c r="AA35" s="202"/>
      <c r="AB35" s="271" t="s">
        <v>284</v>
      </c>
      <c r="AD35" s="344"/>
      <c r="AE35" s="202"/>
    </row>
    <row r="36" spans="1:31" ht="15.75" thickBot="1" x14ac:dyDescent="0.3">
      <c r="B36" s="204" t="s">
        <v>185</v>
      </c>
      <c r="C36" s="202" t="s">
        <v>186</v>
      </c>
      <c r="D36" s="198"/>
      <c r="E36" s="197"/>
      <c r="F36" s="204" t="s">
        <v>185</v>
      </c>
      <c r="G36" s="202" t="s">
        <v>186</v>
      </c>
      <c r="H36" s="204" t="s">
        <v>185</v>
      </c>
      <c r="J36" s="198"/>
      <c r="K36" s="202" t="s">
        <v>186</v>
      </c>
      <c r="L36" s="355"/>
      <c r="M36" s="197"/>
      <c r="N36" s="355"/>
      <c r="O36" s="202" t="s">
        <v>186</v>
      </c>
      <c r="P36" s="355"/>
      <c r="R36" s="204" t="s">
        <v>185</v>
      </c>
      <c r="S36" s="202" t="s">
        <v>186</v>
      </c>
      <c r="T36" s="342"/>
      <c r="V36" s="271" t="s">
        <v>248</v>
      </c>
      <c r="W36" s="202" t="s">
        <v>186</v>
      </c>
      <c r="X36" s="355"/>
      <c r="Z36" s="355"/>
      <c r="AA36" s="202" t="s">
        <v>186</v>
      </c>
      <c r="AB36" s="271" t="s">
        <v>284</v>
      </c>
      <c r="AD36" s="344"/>
      <c r="AE36" s="202" t="s">
        <v>186</v>
      </c>
    </row>
    <row r="37" spans="1:31" ht="15" customHeight="1" thickBot="1" x14ac:dyDescent="0.3">
      <c r="B37" s="357" t="s">
        <v>187</v>
      </c>
      <c r="D37" s="198"/>
      <c r="E37" s="197"/>
      <c r="F37" s="198"/>
      <c r="G37" s="202"/>
      <c r="H37" s="198"/>
      <c r="J37" s="198"/>
      <c r="K37" s="202"/>
      <c r="L37" s="355"/>
      <c r="M37" s="197"/>
      <c r="N37" s="355"/>
      <c r="P37" s="355"/>
      <c r="R37" s="267" t="s">
        <v>249</v>
      </c>
      <c r="S37" s="202"/>
      <c r="T37" s="341" t="s">
        <v>247</v>
      </c>
      <c r="V37" s="271" t="s">
        <v>248</v>
      </c>
      <c r="W37" s="202"/>
      <c r="X37" s="355"/>
      <c r="Z37" s="355"/>
      <c r="AA37" s="202"/>
      <c r="AB37" s="271" t="s">
        <v>284</v>
      </c>
      <c r="AD37" s="344"/>
      <c r="AE37" s="202"/>
    </row>
    <row r="38" spans="1:31" ht="15.75" thickBot="1" x14ac:dyDescent="0.3">
      <c r="A38" s="197" t="s">
        <v>8</v>
      </c>
      <c r="B38" s="358"/>
      <c r="C38" s="202" t="s">
        <v>188</v>
      </c>
      <c r="D38" s="199"/>
      <c r="E38" s="197" t="s">
        <v>8</v>
      </c>
      <c r="F38" s="199"/>
      <c r="G38" s="202" t="s">
        <v>188</v>
      </c>
      <c r="H38" s="199"/>
      <c r="I38" s="197" t="s">
        <v>8</v>
      </c>
      <c r="J38" s="199"/>
      <c r="K38" s="202" t="s">
        <v>188</v>
      </c>
      <c r="L38" s="355"/>
      <c r="M38" s="197" t="s">
        <v>8</v>
      </c>
      <c r="N38" s="355"/>
      <c r="O38" s="202" t="s">
        <v>188</v>
      </c>
      <c r="P38" s="355"/>
      <c r="Q38" s="197" t="s">
        <v>8</v>
      </c>
      <c r="R38" s="267" t="s">
        <v>250</v>
      </c>
      <c r="S38" s="202" t="s">
        <v>188</v>
      </c>
      <c r="T38" s="342"/>
      <c r="U38" s="197" t="s">
        <v>8</v>
      </c>
      <c r="V38" s="271" t="s">
        <v>248</v>
      </c>
      <c r="W38" s="202" t="s">
        <v>188</v>
      </c>
      <c r="X38" s="351"/>
      <c r="Y38" s="197" t="s">
        <v>8</v>
      </c>
      <c r="Z38" s="355"/>
      <c r="AA38" s="202" t="s">
        <v>188</v>
      </c>
      <c r="AB38" s="271" t="s">
        <v>284</v>
      </c>
      <c r="AC38" s="197" t="s">
        <v>8</v>
      </c>
      <c r="AD38" s="344"/>
      <c r="AE38" s="202" t="s">
        <v>188</v>
      </c>
    </row>
    <row r="39" spans="1:31" ht="15" customHeight="1" thickBot="1" x14ac:dyDescent="0.3">
      <c r="B39" s="198"/>
      <c r="D39" s="198"/>
      <c r="E39" s="197"/>
      <c r="F39" s="198"/>
      <c r="G39" s="202"/>
      <c r="H39" s="198"/>
      <c r="J39" s="198"/>
      <c r="K39" s="202"/>
      <c r="L39" s="355"/>
      <c r="M39" s="197"/>
      <c r="N39" s="350" t="s">
        <v>189</v>
      </c>
      <c r="P39" s="350" t="s">
        <v>189</v>
      </c>
      <c r="R39" s="272" t="s">
        <v>251</v>
      </c>
      <c r="S39" s="202"/>
      <c r="T39" s="341" t="s">
        <v>247</v>
      </c>
      <c r="V39" s="271" t="s">
        <v>248</v>
      </c>
      <c r="W39" s="202"/>
      <c r="X39" s="350" t="s">
        <v>174</v>
      </c>
      <c r="Z39" s="355"/>
      <c r="AA39" s="202"/>
      <c r="AB39" s="271" t="s">
        <v>284</v>
      </c>
      <c r="AD39" s="344"/>
      <c r="AE39" s="202"/>
    </row>
    <row r="40" spans="1:31" ht="15.75" thickBot="1" x14ac:dyDescent="0.3">
      <c r="B40" s="198"/>
      <c r="C40" s="202" t="s">
        <v>190</v>
      </c>
      <c r="D40" s="198"/>
      <c r="E40" s="197"/>
      <c r="F40" s="198"/>
      <c r="G40" s="202" t="s">
        <v>190</v>
      </c>
      <c r="H40" s="198"/>
      <c r="J40" s="198"/>
      <c r="K40" s="202" t="s">
        <v>190</v>
      </c>
      <c r="L40" s="355"/>
      <c r="M40" s="197"/>
      <c r="N40" s="351"/>
      <c r="O40" s="202" t="s">
        <v>190</v>
      </c>
      <c r="P40" s="351"/>
      <c r="R40" s="272" t="s">
        <v>252</v>
      </c>
      <c r="S40" s="202" t="s">
        <v>190</v>
      </c>
      <c r="T40" s="342"/>
      <c r="V40" s="271" t="s">
        <v>248</v>
      </c>
      <c r="W40" s="202" t="s">
        <v>190</v>
      </c>
      <c r="X40" s="355"/>
      <c r="Z40" s="355"/>
      <c r="AA40" s="202" t="s">
        <v>190</v>
      </c>
      <c r="AB40" s="271" t="s">
        <v>284</v>
      </c>
      <c r="AD40" s="344"/>
      <c r="AE40" s="202" t="s">
        <v>190</v>
      </c>
    </row>
    <row r="41" spans="1:31" ht="15" customHeight="1" thickBot="1" x14ac:dyDescent="0.3">
      <c r="B41" s="341" t="s">
        <v>247</v>
      </c>
      <c r="D41" s="198"/>
      <c r="E41" s="197"/>
      <c r="F41" s="341" t="s">
        <v>247</v>
      </c>
      <c r="G41" s="202"/>
      <c r="H41" s="341" t="s">
        <v>247</v>
      </c>
      <c r="J41" s="198"/>
      <c r="K41" s="202"/>
      <c r="L41" s="355"/>
      <c r="M41" s="197"/>
      <c r="N41" s="350" t="s">
        <v>174</v>
      </c>
      <c r="P41" s="350" t="s">
        <v>174</v>
      </c>
      <c r="R41" s="341" t="s">
        <v>247</v>
      </c>
      <c r="S41" s="202"/>
      <c r="T41" s="341" t="s">
        <v>247</v>
      </c>
      <c r="V41" s="271" t="s">
        <v>248</v>
      </c>
      <c r="W41" s="202"/>
      <c r="X41" s="355"/>
      <c r="Z41" s="355"/>
      <c r="AA41" s="202"/>
      <c r="AB41" s="271" t="s">
        <v>284</v>
      </c>
      <c r="AD41" s="344"/>
      <c r="AE41" s="202"/>
    </row>
    <row r="42" spans="1:31" ht="15.75" thickBot="1" x14ac:dyDescent="0.3">
      <c r="A42" s="206" t="s">
        <v>1</v>
      </c>
      <c r="B42" s="342"/>
      <c r="C42" s="202" t="s">
        <v>191</v>
      </c>
      <c r="D42" s="199"/>
      <c r="E42" s="206" t="s">
        <v>1</v>
      </c>
      <c r="F42" s="342"/>
      <c r="G42" s="202" t="s">
        <v>191</v>
      </c>
      <c r="H42" s="342"/>
      <c r="I42" s="206" t="s">
        <v>1</v>
      </c>
      <c r="J42" s="199"/>
      <c r="K42" s="202" t="s">
        <v>191</v>
      </c>
      <c r="L42" s="351"/>
      <c r="M42" s="206" t="s">
        <v>1</v>
      </c>
      <c r="N42" s="351"/>
      <c r="O42" s="202" t="s">
        <v>191</v>
      </c>
      <c r="P42" s="351"/>
      <c r="Q42" s="206" t="s">
        <v>1</v>
      </c>
      <c r="R42" s="342"/>
      <c r="S42" s="202" t="s">
        <v>191</v>
      </c>
      <c r="T42" s="342"/>
      <c r="U42" s="206" t="s">
        <v>1</v>
      </c>
      <c r="V42" s="271" t="s">
        <v>248</v>
      </c>
      <c r="W42" s="202" t="s">
        <v>191</v>
      </c>
      <c r="X42" s="351"/>
      <c r="Y42" s="206" t="s">
        <v>1</v>
      </c>
      <c r="Z42" s="351"/>
      <c r="AA42" s="202" t="s">
        <v>191</v>
      </c>
      <c r="AB42" s="203" t="s">
        <v>283</v>
      </c>
      <c r="AC42" s="206" t="s">
        <v>1</v>
      </c>
      <c r="AD42" s="344"/>
      <c r="AE42" s="202" t="s">
        <v>191</v>
      </c>
    </row>
    <row r="43" spans="1:31" ht="15.75" thickBot="1" x14ac:dyDescent="0.3">
      <c r="B43" s="204" t="s">
        <v>184</v>
      </c>
      <c r="D43" s="198"/>
      <c r="E43" s="197"/>
      <c r="F43" s="204" t="s">
        <v>184</v>
      </c>
      <c r="G43" s="202"/>
      <c r="H43" s="204" t="s">
        <v>184</v>
      </c>
      <c r="J43" s="198"/>
      <c r="K43" s="202"/>
      <c r="L43" s="350" t="s">
        <v>192</v>
      </c>
      <c r="M43" s="197"/>
      <c r="N43" s="350" t="s">
        <v>179</v>
      </c>
      <c r="P43" s="350" t="s">
        <v>179</v>
      </c>
      <c r="R43" s="204" t="s">
        <v>184</v>
      </c>
      <c r="S43" s="202"/>
      <c r="T43" s="198"/>
      <c r="V43" s="271" t="s">
        <v>248</v>
      </c>
      <c r="W43" s="202"/>
      <c r="X43" s="350" t="s">
        <v>179</v>
      </c>
      <c r="Z43" s="350" t="s">
        <v>192</v>
      </c>
      <c r="AA43" s="202"/>
      <c r="AB43" s="271" t="s">
        <v>286</v>
      </c>
      <c r="AD43" s="344"/>
      <c r="AE43" s="202"/>
    </row>
    <row r="44" spans="1:31" ht="15.75" thickBot="1" x14ac:dyDescent="0.3">
      <c r="B44" s="204" t="s">
        <v>185</v>
      </c>
      <c r="C44" s="202" t="s">
        <v>193</v>
      </c>
      <c r="D44" s="198"/>
      <c r="E44" s="197"/>
      <c r="F44" s="204" t="s">
        <v>185</v>
      </c>
      <c r="G44" s="202" t="s">
        <v>193</v>
      </c>
      <c r="H44" s="204" t="s">
        <v>185</v>
      </c>
      <c r="J44" s="198"/>
      <c r="K44" s="202" t="s">
        <v>193</v>
      </c>
      <c r="L44" s="355"/>
      <c r="M44" s="197"/>
      <c r="N44" s="355"/>
      <c r="O44" s="202" t="s">
        <v>193</v>
      </c>
      <c r="P44" s="355"/>
      <c r="Q44" s="197" t="s">
        <v>19</v>
      </c>
      <c r="R44" s="204" t="s">
        <v>185</v>
      </c>
      <c r="S44" s="202" t="s">
        <v>193</v>
      </c>
      <c r="T44" s="198"/>
      <c r="V44" s="271" t="s">
        <v>248</v>
      </c>
      <c r="W44" s="202" t="s">
        <v>193</v>
      </c>
      <c r="X44" s="355"/>
      <c r="Z44" s="355"/>
      <c r="AA44" s="202" t="s">
        <v>193</v>
      </c>
      <c r="AB44" s="271" t="s">
        <v>286</v>
      </c>
      <c r="AD44" s="344"/>
      <c r="AE44" s="202" t="s">
        <v>193</v>
      </c>
    </row>
    <row r="45" spans="1:31" ht="15.75" thickBot="1" x14ac:dyDescent="0.3">
      <c r="B45" s="357" t="s">
        <v>187</v>
      </c>
      <c r="D45" s="198"/>
      <c r="E45" s="197"/>
      <c r="F45" s="198"/>
      <c r="G45" s="202"/>
      <c r="H45" s="198"/>
      <c r="J45" s="198"/>
      <c r="K45" s="202"/>
      <c r="L45" s="355"/>
      <c r="M45" s="197"/>
      <c r="N45" s="355"/>
      <c r="P45" s="355"/>
      <c r="R45" s="350" t="s">
        <v>253</v>
      </c>
      <c r="S45" s="202"/>
      <c r="T45" s="198"/>
      <c r="V45" s="271" t="s">
        <v>248</v>
      </c>
      <c r="W45" s="202"/>
      <c r="X45" s="355"/>
      <c r="Z45" s="355"/>
      <c r="AA45" s="202"/>
      <c r="AB45" s="271" t="s">
        <v>286</v>
      </c>
      <c r="AD45" s="344"/>
      <c r="AE45" s="202"/>
    </row>
    <row r="46" spans="1:31" ht="15.75" thickBot="1" x14ac:dyDescent="0.3">
      <c r="A46" s="197" t="s">
        <v>8</v>
      </c>
      <c r="B46" s="358"/>
      <c r="C46" s="202" t="s">
        <v>194</v>
      </c>
      <c r="D46" s="199"/>
      <c r="E46" s="197" t="s">
        <v>8</v>
      </c>
      <c r="F46" s="199"/>
      <c r="G46" s="202" t="s">
        <v>194</v>
      </c>
      <c r="H46" s="199"/>
      <c r="I46" s="197" t="s">
        <v>8</v>
      </c>
      <c r="J46" s="199"/>
      <c r="K46" s="202" t="s">
        <v>194</v>
      </c>
      <c r="L46" s="351"/>
      <c r="M46" s="197" t="s">
        <v>8</v>
      </c>
      <c r="N46" s="355"/>
      <c r="O46" s="202" t="s">
        <v>194</v>
      </c>
      <c r="P46" s="355"/>
      <c r="Q46" s="197" t="s">
        <v>8</v>
      </c>
      <c r="R46" s="351"/>
      <c r="S46" s="202" t="s">
        <v>194</v>
      </c>
      <c r="T46" s="199"/>
      <c r="U46" s="197" t="s">
        <v>8</v>
      </c>
      <c r="V46" s="271" t="s">
        <v>248</v>
      </c>
      <c r="W46" s="202" t="s">
        <v>194</v>
      </c>
      <c r="X46" s="355"/>
      <c r="Y46" s="197" t="s">
        <v>8</v>
      </c>
      <c r="Z46" s="351"/>
      <c r="AA46" s="202" t="s">
        <v>194</v>
      </c>
      <c r="AB46" s="271" t="s">
        <v>286</v>
      </c>
      <c r="AC46" s="197" t="s">
        <v>8</v>
      </c>
      <c r="AD46" s="344"/>
      <c r="AE46" s="202" t="s">
        <v>194</v>
      </c>
    </row>
    <row r="47" spans="1:31" ht="15.75" thickBot="1" x14ac:dyDescent="0.3">
      <c r="B47" s="198"/>
      <c r="D47" s="198"/>
      <c r="E47" s="197"/>
      <c r="F47" s="198"/>
      <c r="G47" s="202"/>
      <c r="H47" s="198"/>
      <c r="J47" s="198"/>
      <c r="K47" s="202"/>
      <c r="L47" s="198"/>
      <c r="M47" s="197"/>
      <c r="N47" s="355"/>
      <c r="P47" s="355"/>
      <c r="R47" s="350" t="s">
        <v>254</v>
      </c>
      <c r="S47" s="202"/>
      <c r="T47" s="271" t="s">
        <v>248</v>
      </c>
      <c r="V47" s="271" t="s">
        <v>248</v>
      </c>
      <c r="W47" s="202"/>
      <c r="X47" s="355"/>
      <c r="Z47" s="271" t="s">
        <v>248</v>
      </c>
      <c r="AA47" s="202"/>
      <c r="AB47" s="271" t="s">
        <v>286</v>
      </c>
      <c r="AD47" s="344"/>
      <c r="AE47" s="202"/>
    </row>
    <row r="48" spans="1:31" ht="15.75" thickBot="1" x14ac:dyDescent="0.3">
      <c r="B48" s="198"/>
      <c r="C48" s="202" t="s">
        <v>195</v>
      </c>
      <c r="D48" s="198"/>
      <c r="E48" s="197"/>
      <c r="F48" s="198"/>
      <c r="G48" s="202" t="s">
        <v>195</v>
      </c>
      <c r="H48" s="198"/>
      <c r="J48" s="198"/>
      <c r="K48" s="202" t="s">
        <v>195</v>
      </c>
      <c r="L48" s="198"/>
      <c r="M48" s="197"/>
      <c r="N48" s="355"/>
      <c r="O48" s="202" t="s">
        <v>195</v>
      </c>
      <c r="P48" s="355"/>
      <c r="Q48" s="197" t="s">
        <v>19</v>
      </c>
      <c r="R48" s="351"/>
      <c r="S48" s="202" t="s">
        <v>195</v>
      </c>
      <c r="T48" s="271" t="s">
        <v>248</v>
      </c>
      <c r="V48" s="271" t="s">
        <v>248</v>
      </c>
      <c r="W48" s="202" t="s">
        <v>195</v>
      </c>
      <c r="X48" s="351"/>
      <c r="Z48" s="271" t="s">
        <v>248</v>
      </c>
      <c r="AA48" s="202" t="s">
        <v>195</v>
      </c>
      <c r="AB48" s="271" t="s">
        <v>286</v>
      </c>
      <c r="AD48" s="344"/>
      <c r="AE48" s="202" t="s">
        <v>195</v>
      </c>
    </row>
    <row r="49" spans="1:31" ht="15" customHeight="1" thickBot="1" x14ac:dyDescent="0.3">
      <c r="B49" s="341" t="s">
        <v>247</v>
      </c>
      <c r="D49" s="198"/>
      <c r="E49" s="197"/>
      <c r="F49" s="341" t="s">
        <v>247</v>
      </c>
      <c r="G49" s="202"/>
      <c r="H49" s="341" t="s">
        <v>247</v>
      </c>
      <c r="J49" s="198"/>
      <c r="K49" s="202"/>
      <c r="L49" s="341" t="s">
        <v>247</v>
      </c>
      <c r="M49" s="197"/>
      <c r="N49" s="355"/>
      <c r="P49" s="360" t="s">
        <v>255</v>
      </c>
      <c r="R49" s="341" t="s">
        <v>247</v>
      </c>
      <c r="S49" s="202"/>
      <c r="T49" s="271" t="s">
        <v>248</v>
      </c>
      <c r="V49" s="271" t="s">
        <v>248</v>
      </c>
      <c r="W49" s="202"/>
      <c r="X49" s="271" t="s">
        <v>248</v>
      </c>
      <c r="Z49" s="271" t="s">
        <v>248</v>
      </c>
      <c r="AA49" s="202"/>
      <c r="AB49" s="271" t="s">
        <v>286</v>
      </c>
      <c r="AD49" s="344"/>
      <c r="AE49" s="202"/>
    </row>
    <row r="50" spans="1:31" ht="15.75" thickBot="1" x14ac:dyDescent="0.3">
      <c r="A50" s="205" t="s">
        <v>33</v>
      </c>
      <c r="B50" s="342"/>
      <c r="C50" s="208" t="s">
        <v>196</v>
      </c>
      <c r="D50" s="199"/>
      <c r="E50" s="205" t="s">
        <v>33</v>
      </c>
      <c r="F50" s="342"/>
      <c r="G50" s="208" t="s">
        <v>196</v>
      </c>
      <c r="H50" s="342"/>
      <c r="I50" s="205" t="s">
        <v>33</v>
      </c>
      <c r="J50" s="199"/>
      <c r="K50" s="208" t="s">
        <v>196</v>
      </c>
      <c r="L50" s="342"/>
      <c r="M50" s="205" t="s">
        <v>33</v>
      </c>
      <c r="N50" s="351"/>
      <c r="O50" s="208" t="s">
        <v>196</v>
      </c>
      <c r="P50" s="361"/>
      <c r="Q50" s="209" t="s">
        <v>33</v>
      </c>
      <c r="R50" s="342"/>
      <c r="S50" s="208" t="s">
        <v>196</v>
      </c>
      <c r="T50" s="203" t="s">
        <v>197</v>
      </c>
      <c r="U50" s="209" t="s">
        <v>33</v>
      </c>
      <c r="V50" s="203" t="s">
        <v>197</v>
      </c>
      <c r="W50" s="208" t="s">
        <v>196</v>
      </c>
      <c r="X50" s="203" t="s">
        <v>197</v>
      </c>
      <c r="Y50" s="209" t="s">
        <v>33</v>
      </c>
      <c r="Z50" s="203" t="s">
        <v>197</v>
      </c>
      <c r="AA50" s="208" t="s">
        <v>196</v>
      </c>
      <c r="AB50" s="203" t="s">
        <v>285</v>
      </c>
      <c r="AC50" s="209" t="s">
        <v>33</v>
      </c>
      <c r="AD50" s="344"/>
      <c r="AE50" s="208" t="s">
        <v>196</v>
      </c>
    </row>
    <row r="51" spans="1:31" ht="15.75" thickBot="1" x14ac:dyDescent="0.3">
      <c r="B51" s="204" t="s">
        <v>184</v>
      </c>
      <c r="D51" s="198"/>
      <c r="E51" s="197"/>
      <c r="F51" s="204" t="s">
        <v>184</v>
      </c>
      <c r="G51" s="202"/>
      <c r="H51" s="204" t="s">
        <v>184</v>
      </c>
      <c r="J51" s="198"/>
      <c r="K51" s="202"/>
      <c r="L51" s="204" t="s">
        <v>184</v>
      </c>
      <c r="M51" s="197"/>
      <c r="N51" s="204" t="s">
        <v>184</v>
      </c>
      <c r="P51" s="204" t="s">
        <v>184</v>
      </c>
      <c r="R51" s="204" t="s">
        <v>184</v>
      </c>
      <c r="S51" s="202"/>
      <c r="T51" s="210"/>
      <c r="V51" s="352" t="s">
        <v>227</v>
      </c>
      <c r="W51" s="202"/>
      <c r="X51" s="352" t="s">
        <v>227</v>
      </c>
      <c r="Z51" s="352" t="s">
        <v>227</v>
      </c>
      <c r="AA51" s="202"/>
      <c r="AB51" s="210"/>
      <c r="AD51" s="344"/>
      <c r="AE51" s="202"/>
    </row>
    <row r="52" spans="1:31" ht="15.75" thickBot="1" x14ac:dyDescent="0.3">
      <c r="A52" s="197" t="s">
        <v>19</v>
      </c>
      <c r="B52" s="204" t="s">
        <v>185</v>
      </c>
      <c r="C52" s="202" t="s">
        <v>198</v>
      </c>
      <c r="D52" s="198"/>
      <c r="E52" s="197" t="s">
        <v>19</v>
      </c>
      <c r="F52" s="204" t="s">
        <v>185</v>
      </c>
      <c r="G52" s="202" t="s">
        <v>198</v>
      </c>
      <c r="H52" s="204" t="s">
        <v>185</v>
      </c>
      <c r="I52" s="197" t="s">
        <v>19</v>
      </c>
      <c r="J52" s="198"/>
      <c r="K52" s="202" t="s">
        <v>198</v>
      </c>
      <c r="L52" s="204" t="s">
        <v>185</v>
      </c>
      <c r="M52" s="197" t="s">
        <v>19</v>
      </c>
      <c r="N52" s="204" t="s">
        <v>185</v>
      </c>
      <c r="O52" s="202" t="s">
        <v>198</v>
      </c>
      <c r="P52" s="204" t="s">
        <v>185</v>
      </c>
      <c r="Q52" s="197" t="s">
        <v>19</v>
      </c>
      <c r="R52" s="204" t="s">
        <v>185</v>
      </c>
      <c r="S52" s="202" t="s">
        <v>198</v>
      </c>
      <c r="T52" s="210"/>
      <c r="U52" s="197" t="s">
        <v>19</v>
      </c>
      <c r="V52" s="353"/>
      <c r="W52" s="202" t="s">
        <v>198</v>
      </c>
      <c r="X52" s="353"/>
      <c r="Y52" s="197" t="s">
        <v>19</v>
      </c>
      <c r="Z52" s="353"/>
      <c r="AA52" s="202" t="s">
        <v>198</v>
      </c>
      <c r="AB52" s="210"/>
      <c r="AC52" s="197" t="s">
        <v>19</v>
      </c>
      <c r="AD52" s="344"/>
      <c r="AE52" s="202" t="s">
        <v>198</v>
      </c>
    </row>
    <row r="53" spans="1:31" x14ac:dyDescent="0.25">
      <c r="B53" s="357" t="s">
        <v>187</v>
      </c>
      <c r="D53" s="198"/>
      <c r="E53" s="197"/>
      <c r="F53" s="198"/>
      <c r="G53" s="202"/>
      <c r="H53" s="198"/>
      <c r="J53" s="198"/>
      <c r="K53" s="202"/>
      <c r="L53" s="198"/>
      <c r="M53" s="197"/>
      <c r="N53" s="198"/>
      <c r="P53" s="198"/>
      <c r="R53" s="350" t="s">
        <v>256</v>
      </c>
      <c r="S53" s="202"/>
      <c r="T53" s="210"/>
      <c r="V53" s="353"/>
      <c r="W53" s="202"/>
      <c r="X53" s="353"/>
      <c r="Z53" s="353"/>
      <c r="AA53" s="202"/>
      <c r="AB53" s="210"/>
      <c r="AD53" s="344"/>
      <c r="AE53" s="202"/>
    </row>
    <row r="54" spans="1:31" ht="15.75" thickBot="1" x14ac:dyDescent="0.3">
      <c r="A54" s="197" t="s">
        <v>8</v>
      </c>
      <c r="B54" s="358"/>
      <c r="C54" s="202" t="s">
        <v>199</v>
      </c>
      <c r="D54" s="199"/>
      <c r="E54" s="197" t="s">
        <v>8</v>
      </c>
      <c r="F54" s="199"/>
      <c r="G54" s="202" t="s">
        <v>199</v>
      </c>
      <c r="H54" s="199"/>
      <c r="I54" s="197" t="s">
        <v>8</v>
      </c>
      <c r="J54" s="199"/>
      <c r="K54" s="202" t="s">
        <v>199</v>
      </c>
      <c r="L54" s="198"/>
      <c r="M54" s="197" t="s">
        <v>8</v>
      </c>
      <c r="N54" s="199"/>
      <c r="O54" s="202" t="s">
        <v>199</v>
      </c>
      <c r="P54" s="199"/>
      <c r="Q54" s="197" t="s">
        <v>8</v>
      </c>
      <c r="R54" s="351"/>
      <c r="S54" s="202" t="s">
        <v>199</v>
      </c>
      <c r="T54" s="210"/>
      <c r="U54" s="197" t="s">
        <v>8</v>
      </c>
      <c r="V54" s="353"/>
      <c r="W54" s="202" t="s">
        <v>199</v>
      </c>
      <c r="X54" s="353"/>
      <c r="Y54" s="197" t="s">
        <v>8</v>
      </c>
      <c r="Z54" s="353"/>
      <c r="AA54" s="202" t="s">
        <v>199</v>
      </c>
      <c r="AB54" s="210"/>
      <c r="AC54" s="197" t="s">
        <v>8</v>
      </c>
      <c r="AD54" s="344"/>
      <c r="AE54" s="202" t="s">
        <v>199</v>
      </c>
    </row>
    <row r="55" spans="1:31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M55" s="197"/>
      <c r="N55" s="198"/>
      <c r="P55" s="198"/>
      <c r="R55" s="350" t="s">
        <v>257</v>
      </c>
      <c r="S55" s="202"/>
      <c r="T55" s="210"/>
      <c r="V55" s="353"/>
      <c r="W55" s="202"/>
      <c r="X55" s="353"/>
      <c r="Z55" s="353"/>
      <c r="AA55" s="202"/>
      <c r="AB55" s="210"/>
      <c r="AD55" s="344"/>
      <c r="AE55" s="202"/>
    </row>
    <row r="56" spans="1:31" ht="15.75" thickBot="1" x14ac:dyDescent="0.3">
      <c r="A56" s="197" t="s">
        <v>19</v>
      </c>
      <c r="B56" s="198"/>
      <c r="C56" s="202" t="s">
        <v>200</v>
      </c>
      <c r="D56" s="198"/>
      <c r="E56" s="197" t="s">
        <v>19</v>
      </c>
      <c r="F56" s="198"/>
      <c r="G56" s="202" t="s">
        <v>200</v>
      </c>
      <c r="H56" s="198"/>
      <c r="I56" s="197" t="s">
        <v>19</v>
      </c>
      <c r="J56" s="198"/>
      <c r="K56" s="202" t="s">
        <v>200</v>
      </c>
      <c r="L56" s="198"/>
      <c r="M56" s="197" t="s">
        <v>19</v>
      </c>
      <c r="N56" s="198"/>
      <c r="O56" s="202" t="s">
        <v>200</v>
      </c>
      <c r="P56" s="198"/>
      <c r="Q56" s="197" t="s">
        <v>19</v>
      </c>
      <c r="R56" s="351"/>
      <c r="S56" s="202" t="s">
        <v>200</v>
      </c>
      <c r="T56" s="210"/>
      <c r="U56" s="197" t="s">
        <v>19</v>
      </c>
      <c r="V56" s="353"/>
      <c r="W56" s="202" t="s">
        <v>200</v>
      </c>
      <c r="X56" s="353"/>
      <c r="Y56" s="197" t="s">
        <v>19</v>
      </c>
      <c r="Z56" s="353"/>
      <c r="AA56" s="202" t="s">
        <v>200</v>
      </c>
      <c r="AB56" s="210"/>
      <c r="AC56" s="197" t="s">
        <v>19</v>
      </c>
      <c r="AD56" s="344"/>
      <c r="AE56" s="202" t="s">
        <v>200</v>
      </c>
    </row>
    <row r="57" spans="1:31" ht="15" customHeight="1" x14ac:dyDescent="0.25">
      <c r="B57" s="341" t="s">
        <v>247</v>
      </c>
      <c r="D57" s="198"/>
      <c r="E57" s="197"/>
      <c r="F57" s="341" t="s">
        <v>247</v>
      </c>
      <c r="G57" s="202"/>
      <c r="H57" s="341" t="s">
        <v>247</v>
      </c>
      <c r="J57" s="198"/>
      <c r="K57" s="202"/>
      <c r="L57" s="341" t="s">
        <v>247</v>
      </c>
      <c r="M57" s="197"/>
      <c r="N57" s="341" t="s">
        <v>247</v>
      </c>
      <c r="P57" s="341" t="s">
        <v>258</v>
      </c>
      <c r="R57" s="341" t="s">
        <v>247</v>
      </c>
      <c r="S57" s="202"/>
      <c r="T57" s="210"/>
      <c r="V57" s="353"/>
      <c r="W57" s="202"/>
      <c r="X57" s="353"/>
      <c r="Z57" s="353"/>
      <c r="AA57" s="202"/>
      <c r="AB57" s="210"/>
      <c r="AD57" s="344"/>
      <c r="AE57" s="202"/>
    </row>
    <row r="58" spans="1:31" ht="15.75" thickBot="1" x14ac:dyDescent="0.3">
      <c r="A58" s="206" t="s">
        <v>1</v>
      </c>
      <c r="B58" s="342"/>
      <c r="C58" s="202" t="s">
        <v>201</v>
      </c>
      <c r="D58" s="199"/>
      <c r="E58" s="206" t="s">
        <v>1</v>
      </c>
      <c r="F58" s="342"/>
      <c r="G58" s="202" t="s">
        <v>201</v>
      </c>
      <c r="H58" s="342"/>
      <c r="I58" s="206" t="s">
        <v>1</v>
      </c>
      <c r="J58" s="199"/>
      <c r="K58" s="202" t="s">
        <v>201</v>
      </c>
      <c r="L58" s="342"/>
      <c r="M58" s="206" t="s">
        <v>1</v>
      </c>
      <c r="N58" s="342"/>
      <c r="O58" s="202" t="s">
        <v>201</v>
      </c>
      <c r="P58" s="342"/>
      <c r="Q58" s="206" t="s">
        <v>1</v>
      </c>
      <c r="R58" s="342"/>
      <c r="S58" s="202" t="s">
        <v>201</v>
      </c>
      <c r="T58" s="210"/>
      <c r="U58" s="206" t="s">
        <v>1</v>
      </c>
      <c r="V58" s="354"/>
      <c r="W58" s="202" t="s">
        <v>201</v>
      </c>
      <c r="X58" s="354"/>
      <c r="Y58" s="206" t="s">
        <v>1</v>
      </c>
      <c r="Z58" s="354"/>
      <c r="AA58" s="202" t="s">
        <v>201</v>
      </c>
      <c r="AB58" s="210"/>
      <c r="AC58" s="206" t="s">
        <v>1</v>
      </c>
      <c r="AD58" s="344"/>
      <c r="AE58" s="202" t="s">
        <v>201</v>
      </c>
    </row>
    <row r="59" spans="1:31" ht="15.75" thickBot="1" x14ac:dyDescent="0.3">
      <c r="B59" s="203" t="s">
        <v>202</v>
      </c>
      <c r="C59" s="202" t="s">
        <v>203</v>
      </c>
      <c r="D59" s="203" t="s">
        <v>202</v>
      </c>
      <c r="E59" s="197"/>
      <c r="F59" s="203" t="s">
        <v>202</v>
      </c>
      <c r="G59" s="202" t="s">
        <v>203</v>
      </c>
      <c r="H59" s="203" t="s">
        <v>202</v>
      </c>
      <c r="J59" s="203" t="s">
        <v>202</v>
      </c>
      <c r="K59" s="202" t="s">
        <v>203</v>
      </c>
      <c r="L59" s="203" t="s">
        <v>202</v>
      </c>
      <c r="M59" s="197"/>
      <c r="N59" s="203" t="s">
        <v>202</v>
      </c>
      <c r="O59" s="202" t="s">
        <v>203</v>
      </c>
      <c r="P59" s="203" t="s">
        <v>202</v>
      </c>
      <c r="R59" s="203" t="s">
        <v>202</v>
      </c>
      <c r="S59" s="202" t="s">
        <v>203</v>
      </c>
      <c r="T59" s="203" t="s">
        <v>202</v>
      </c>
      <c r="V59" s="203" t="s">
        <v>202</v>
      </c>
      <c r="W59" s="202" t="s">
        <v>203</v>
      </c>
      <c r="X59" s="203" t="s">
        <v>202</v>
      </c>
      <c r="Z59" s="203" t="s">
        <v>202</v>
      </c>
      <c r="AA59" s="202" t="s">
        <v>203</v>
      </c>
      <c r="AB59" s="339" t="s">
        <v>179</v>
      </c>
      <c r="AD59" s="344"/>
      <c r="AE59" s="202" t="s">
        <v>203</v>
      </c>
    </row>
    <row r="60" spans="1:31" ht="15.75" thickBot="1" x14ac:dyDescent="0.3">
      <c r="A60" s="197" t="s">
        <v>19</v>
      </c>
      <c r="B60" s="203" t="s">
        <v>204</v>
      </c>
      <c r="C60" s="202" t="s">
        <v>205</v>
      </c>
      <c r="D60" s="203" t="s">
        <v>204</v>
      </c>
      <c r="E60" s="197" t="s">
        <v>19</v>
      </c>
      <c r="F60" s="203" t="s">
        <v>204</v>
      </c>
      <c r="G60" s="202" t="s">
        <v>205</v>
      </c>
      <c r="H60" s="203" t="s">
        <v>204</v>
      </c>
      <c r="I60" s="197" t="s">
        <v>19</v>
      </c>
      <c r="J60" s="203" t="s">
        <v>204</v>
      </c>
      <c r="K60" s="202" t="s">
        <v>205</v>
      </c>
      <c r="L60" s="203" t="s">
        <v>204</v>
      </c>
      <c r="M60" s="197" t="s">
        <v>19</v>
      </c>
      <c r="N60" s="203" t="s">
        <v>204</v>
      </c>
      <c r="O60" s="202" t="s">
        <v>205</v>
      </c>
      <c r="P60" s="203" t="s">
        <v>204</v>
      </c>
      <c r="Q60" s="197" t="s">
        <v>19</v>
      </c>
      <c r="R60" s="203" t="s">
        <v>204</v>
      </c>
      <c r="S60" s="202" t="s">
        <v>205</v>
      </c>
      <c r="T60" s="203" t="s">
        <v>204</v>
      </c>
      <c r="U60" s="197" t="s">
        <v>19</v>
      </c>
      <c r="V60" s="203" t="s">
        <v>204</v>
      </c>
      <c r="W60" s="202" t="s">
        <v>205</v>
      </c>
      <c r="X60" s="203" t="s">
        <v>204</v>
      </c>
      <c r="Y60" s="197" t="s">
        <v>19</v>
      </c>
      <c r="Z60" s="203" t="s">
        <v>204</v>
      </c>
      <c r="AA60" s="202" t="s">
        <v>205</v>
      </c>
      <c r="AB60" s="349"/>
      <c r="AC60" s="197" t="s">
        <v>19</v>
      </c>
      <c r="AD60" s="344"/>
      <c r="AE60" s="202" t="s">
        <v>205</v>
      </c>
    </row>
    <row r="61" spans="1:31" x14ac:dyDescent="0.25">
      <c r="B61" s="357" t="s">
        <v>187</v>
      </c>
      <c r="D61" s="198"/>
      <c r="E61" s="197"/>
      <c r="F61" s="198"/>
      <c r="G61" s="202"/>
      <c r="H61" s="198"/>
      <c r="J61" s="198"/>
      <c r="K61" s="202"/>
      <c r="L61" s="198"/>
      <c r="M61" s="197"/>
      <c r="N61" s="359" t="s">
        <v>259</v>
      </c>
      <c r="P61" s="359" t="s">
        <v>259</v>
      </c>
      <c r="R61" s="350" t="s">
        <v>260</v>
      </c>
      <c r="S61" s="202"/>
      <c r="T61" s="210"/>
      <c r="V61" s="210"/>
      <c r="W61" s="202"/>
      <c r="X61" s="210"/>
      <c r="Z61" s="210"/>
      <c r="AA61" s="202"/>
      <c r="AB61" s="349"/>
      <c r="AD61" s="344"/>
      <c r="AE61" s="202"/>
    </row>
    <row r="62" spans="1:31" ht="15.75" thickBot="1" x14ac:dyDescent="0.3">
      <c r="A62" s="197" t="s">
        <v>8</v>
      </c>
      <c r="B62" s="358"/>
      <c r="C62" s="202" t="s">
        <v>206</v>
      </c>
      <c r="D62" s="199"/>
      <c r="E62" s="197" t="s">
        <v>8</v>
      </c>
      <c r="F62" s="199"/>
      <c r="G62" s="202" t="s">
        <v>206</v>
      </c>
      <c r="H62" s="199"/>
      <c r="I62" s="197" t="s">
        <v>8</v>
      </c>
      <c r="J62" s="199"/>
      <c r="K62" s="202" t="s">
        <v>206</v>
      </c>
      <c r="L62" s="198"/>
      <c r="M62" s="197" t="s">
        <v>8</v>
      </c>
      <c r="N62" s="351"/>
      <c r="O62" s="202" t="s">
        <v>206</v>
      </c>
      <c r="P62" s="351"/>
      <c r="Q62" s="197" t="s">
        <v>8</v>
      </c>
      <c r="R62" s="351"/>
      <c r="S62" s="202" t="s">
        <v>206</v>
      </c>
      <c r="T62" s="210"/>
      <c r="U62" s="197" t="s">
        <v>8</v>
      </c>
      <c r="V62" s="210"/>
      <c r="W62" s="202" t="s">
        <v>206</v>
      </c>
      <c r="X62" s="210"/>
      <c r="Y62" s="197" t="s">
        <v>8</v>
      </c>
      <c r="Z62" s="210"/>
      <c r="AA62" s="202" t="s">
        <v>206</v>
      </c>
      <c r="AB62" s="349"/>
      <c r="AC62" s="197" t="s">
        <v>8</v>
      </c>
      <c r="AD62" s="344"/>
      <c r="AE62" s="202" t="s">
        <v>206</v>
      </c>
    </row>
    <row r="63" spans="1:31" ht="15" customHeight="1" x14ac:dyDescent="0.25">
      <c r="B63" s="198"/>
      <c r="D63" s="341" t="s">
        <v>247</v>
      </c>
      <c r="E63" s="197"/>
      <c r="F63" s="198"/>
      <c r="G63" s="202"/>
      <c r="H63" s="198"/>
      <c r="J63" s="341" t="s">
        <v>247</v>
      </c>
      <c r="K63" s="202"/>
      <c r="L63" s="198"/>
      <c r="M63" s="197"/>
      <c r="N63" s="198"/>
      <c r="P63" s="198"/>
      <c r="R63" s="350" t="s">
        <v>261</v>
      </c>
      <c r="S63" s="202"/>
      <c r="T63" s="341" t="s">
        <v>247</v>
      </c>
      <c r="V63" s="341" t="s">
        <v>247</v>
      </c>
      <c r="W63" s="202"/>
      <c r="X63" s="341" t="s">
        <v>247</v>
      </c>
      <c r="Z63" s="341" t="s">
        <v>247</v>
      </c>
      <c r="AA63" s="202"/>
      <c r="AB63" s="349"/>
      <c r="AD63" s="344"/>
      <c r="AE63" s="202"/>
    </row>
    <row r="64" spans="1:31" ht="15.75" thickBot="1" x14ac:dyDescent="0.3">
      <c r="A64" s="197" t="s">
        <v>19</v>
      </c>
      <c r="B64" s="198"/>
      <c r="C64" s="202" t="s">
        <v>207</v>
      </c>
      <c r="D64" s="342"/>
      <c r="E64" s="197" t="s">
        <v>19</v>
      </c>
      <c r="F64" s="198"/>
      <c r="G64" s="202" t="s">
        <v>207</v>
      </c>
      <c r="H64" s="198"/>
      <c r="I64" s="197" t="s">
        <v>19</v>
      </c>
      <c r="J64" s="342"/>
      <c r="K64" s="202" t="s">
        <v>207</v>
      </c>
      <c r="L64" s="198"/>
      <c r="M64" s="197" t="s">
        <v>19</v>
      </c>
      <c r="N64" s="199"/>
      <c r="O64" s="202" t="s">
        <v>207</v>
      </c>
      <c r="P64" s="199"/>
      <c r="Q64" s="197" t="s">
        <v>19</v>
      </c>
      <c r="R64" s="351"/>
      <c r="S64" s="202" t="s">
        <v>207</v>
      </c>
      <c r="T64" s="342"/>
      <c r="U64" s="197" t="s">
        <v>19</v>
      </c>
      <c r="V64" s="342"/>
      <c r="W64" s="202" t="s">
        <v>207</v>
      </c>
      <c r="X64" s="342"/>
      <c r="Y64" s="197" t="s">
        <v>19</v>
      </c>
      <c r="Z64" s="342"/>
      <c r="AA64" s="202" t="s">
        <v>207</v>
      </c>
      <c r="AB64" s="349"/>
      <c r="AC64" s="197" t="s">
        <v>19</v>
      </c>
      <c r="AD64" s="345"/>
      <c r="AE64" s="202" t="s">
        <v>207</v>
      </c>
    </row>
    <row r="65" spans="1:31" x14ac:dyDescent="0.25">
      <c r="B65" s="339" t="s">
        <v>262</v>
      </c>
      <c r="D65" s="339" t="s">
        <v>262</v>
      </c>
      <c r="E65" s="197"/>
      <c r="F65" s="339" t="s">
        <v>262</v>
      </c>
      <c r="G65" s="202"/>
      <c r="H65" s="339" t="s">
        <v>262</v>
      </c>
      <c r="J65" s="339" t="s">
        <v>262</v>
      </c>
      <c r="K65" s="202"/>
      <c r="L65" s="339" t="s">
        <v>262</v>
      </c>
      <c r="M65" s="197"/>
      <c r="N65" s="339" t="s">
        <v>262</v>
      </c>
      <c r="P65" s="360" t="s">
        <v>263</v>
      </c>
      <c r="R65" s="339" t="s">
        <v>262</v>
      </c>
      <c r="S65" s="202"/>
      <c r="T65" s="339" t="s">
        <v>262</v>
      </c>
      <c r="V65" s="339" t="s">
        <v>262</v>
      </c>
      <c r="W65" s="202"/>
      <c r="X65" s="339" t="s">
        <v>262</v>
      </c>
      <c r="Z65" s="339" t="s">
        <v>262</v>
      </c>
      <c r="AA65" s="202"/>
      <c r="AB65" s="349"/>
      <c r="AD65" s="346" t="s">
        <v>264</v>
      </c>
      <c r="AE65" s="202"/>
    </row>
    <row r="66" spans="1:31" ht="15.75" thickBot="1" x14ac:dyDescent="0.3">
      <c r="A66" s="201"/>
      <c r="B66" s="340"/>
      <c r="C66" s="208" t="s">
        <v>208</v>
      </c>
      <c r="D66" s="340"/>
      <c r="E66" s="201"/>
      <c r="F66" s="340"/>
      <c r="G66" s="208" t="s">
        <v>208</v>
      </c>
      <c r="H66" s="340"/>
      <c r="I66" s="201"/>
      <c r="J66" s="340"/>
      <c r="K66" s="208" t="s">
        <v>208</v>
      </c>
      <c r="L66" s="340"/>
      <c r="M66" s="201"/>
      <c r="N66" s="340"/>
      <c r="O66" s="208" t="s">
        <v>208</v>
      </c>
      <c r="P66" s="361"/>
      <c r="Q66" s="200"/>
      <c r="R66" s="340"/>
      <c r="S66" s="208" t="s">
        <v>208</v>
      </c>
      <c r="T66" s="340"/>
      <c r="U66" s="200"/>
      <c r="V66" s="340"/>
      <c r="W66" s="208" t="s">
        <v>208</v>
      </c>
      <c r="X66" s="340"/>
      <c r="Y66" s="200"/>
      <c r="Z66" s="340"/>
      <c r="AA66" s="208" t="s">
        <v>208</v>
      </c>
      <c r="AB66" s="340"/>
      <c r="AC66" s="200"/>
      <c r="AD66" s="345"/>
      <c r="AE66" s="208" t="s">
        <v>208</v>
      </c>
    </row>
    <row r="67" spans="1:31" x14ac:dyDescent="0.25">
      <c r="G67" s="202"/>
      <c r="K67" s="202"/>
      <c r="S67" s="202"/>
      <c r="W67" s="202"/>
      <c r="AA67" s="202"/>
      <c r="AE67" s="202"/>
    </row>
  </sheetData>
  <mergeCells count="116">
    <mergeCell ref="B37:B38"/>
    <mergeCell ref="B41:B42"/>
    <mergeCell ref="F41:F42"/>
    <mergeCell ref="H41:H42"/>
    <mergeCell ref="N41:N42"/>
    <mergeCell ref="B19:B26"/>
    <mergeCell ref="F19:F26"/>
    <mergeCell ref="H19:H26"/>
    <mergeCell ref="J19:J22"/>
    <mergeCell ref="L19:L22"/>
    <mergeCell ref="J23:J26"/>
    <mergeCell ref="N39:N40"/>
    <mergeCell ref="Z3:Z34"/>
    <mergeCell ref="B11:B18"/>
    <mergeCell ref="D11:D18"/>
    <mergeCell ref="F11:F18"/>
    <mergeCell ref="H11:H18"/>
    <mergeCell ref="J11:J18"/>
    <mergeCell ref="L11:L18"/>
    <mergeCell ref="R3:R10"/>
    <mergeCell ref="B27:B34"/>
    <mergeCell ref="F27:F34"/>
    <mergeCell ref="R11:R18"/>
    <mergeCell ref="N27:N34"/>
    <mergeCell ref="P27:P34"/>
    <mergeCell ref="B3:B10"/>
    <mergeCell ref="D3:D10"/>
    <mergeCell ref="F3:F10"/>
    <mergeCell ref="H3:H10"/>
    <mergeCell ref="J3:J10"/>
    <mergeCell ref="L3:L10"/>
    <mergeCell ref="N3:N10"/>
    <mergeCell ref="P3:P10"/>
    <mergeCell ref="R27:R34"/>
    <mergeCell ref="R19:R26"/>
    <mergeCell ref="T39:T40"/>
    <mergeCell ref="N11:N18"/>
    <mergeCell ref="P11:P18"/>
    <mergeCell ref="H27:H34"/>
    <mergeCell ref="J27:J34"/>
    <mergeCell ref="L27:L34"/>
    <mergeCell ref="L23:L26"/>
    <mergeCell ref="L35:L42"/>
    <mergeCell ref="N35:N38"/>
    <mergeCell ref="P35:P38"/>
    <mergeCell ref="T35:T36"/>
    <mergeCell ref="P41:P42"/>
    <mergeCell ref="R41:R42"/>
    <mergeCell ref="T41:T42"/>
    <mergeCell ref="P39:P40"/>
    <mergeCell ref="B57:B58"/>
    <mergeCell ref="F57:F58"/>
    <mergeCell ref="H57:H58"/>
    <mergeCell ref="L57:L58"/>
    <mergeCell ref="N57:N58"/>
    <mergeCell ref="P57:P58"/>
    <mergeCell ref="B45:B46"/>
    <mergeCell ref="R45:R46"/>
    <mergeCell ref="R47:R48"/>
    <mergeCell ref="B49:B50"/>
    <mergeCell ref="F49:F50"/>
    <mergeCell ref="H49:H50"/>
    <mergeCell ref="L49:L50"/>
    <mergeCell ref="P49:P50"/>
    <mergeCell ref="R49:R50"/>
    <mergeCell ref="L43:L46"/>
    <mergeCell ref="N43:N50"/>
    <mergeCell ref="P43:P48"/>
    <mergeCell ref="T3:T34"/>
    <mergeCell ref="V3:V34"/>
    <mergeCell ref="X3:X34"/>
    <mergeCell ref="V51:V58"/>
    <mergeCell ref="X51:X58"/>
    <mergeCell ref="R57:R58"/>
    <mergeCell ref="T37:T38"/>
    <mergeCell ref="B65:B66"/>
    <mergeCell ref="D65:D66"/>
    <mergeCell ref="F65:F66"/>
    <mergeCell ref="H65:H66"/>
    <mergeCell ref="J65:J66"/>
    <mergeCell ref="L65:L66"/>
    <mergeCell ref="B61:B62"/>
    <mergeCell ref="N61:N62"/>
    <mergeCell ref="P61:P62"/>
    <mergeCell ref="D63:D64"/>
    <mergeCell ref="J63:J64"/>
    <mergeCell ref="N65:N66"/>
    <mergeCell ref="P65:P66"/>
    <mergeCell ref="X43:X48"/>
    <mergeCell ref="B53:B54"/>
    <mergeCell ref="R53:R54"/>
    <mergeCell ref="R55:R56"/>
    <mergeCell ref="R65:R66"/>
    <mergeCell ref="T65:T66"/>
    <mergeCell ref="V65:V66"/>
    <mergeCell ref="X65:X66"/>
    <mergeCell ref="T63:T64"/>
    <mergeCell ref="V63:V64"/>
    <mergeCell ref="X63:X64"/>
    <mergeCell ref="AD3:AD10"/>
    <mergeCell ref="AD11:AD14"/>
    <mergeCell ref="AD15:AD18"/>
    <mergeCell ref="AD19:AD26"/>
    <mergeCell ref="AD27:AD64"/>
    <mergeCell ref="AD65:AD66"/>
    <mergeCell ref="AB3:AB34"/>
    <mergeCell ref="AB59:AB66"/>
    <mergeCell ref="Z65:Z66"/>
    <mergeCell ref="Z63:Z64"/>
    <mergeCell ref="R61:R62"/>
    <mergeCell ref="R63:R64"/>
    <mergeCell ref="Z51:Z58"/>
    <mergeCell ref="Z43:Z46"/>
    <mergeCell ref="X39:X42"/>
    <mergeCell ref="X35:X38"/>
    <mergeCell ref="Z35:Z4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GALV4</vt:lpstr>
      <vt:lpstr>Clockgenerator</vt:lpstr>
      <vt:lpstr>GALV5</vt:lpstr>
      <vt:lpstr>Truth-Table V1.22</vt:lpstr>
      <vt:lpstr>Speicherbelegung</vt:lpstr>
      <vt:lpstr>'Truth-Table V1.22'!ProfDosV5D_Truth_Table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2017-10-08T14:49:32Z</dcterms:modified>
</cp:coreProperties>
</file>